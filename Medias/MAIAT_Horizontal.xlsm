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om\Downloads\"/>
    </mc:Choice>
  </mc:AlternateContent>
  <xr:revisionPtr revIDLastSave="0" documentId="13_ncr:1_{FB4603A3-D7CF-4005-88A1-4DCD32FF13CE}" xr6:coauthVersionLast="47" xr6:coauthVersionMax="47" xr10:uidLastSave="{00000000-0000-0000-0000-000000000000}"/>
  <bookViews>
    <workbookView xWindow="-108" yWindow="-108" windowWidth="23256" windowHeight="12456" activeTab="3" xr2:uid="{E61A2F89-7E15-495D-B38D-BE918C7795FE}"/>
  </bookViews>
  <sheets>
    <sheet name="Guide" sheetId="5" r:id="rId1"/>
    <sheet name="Diagnostics" sheetId="1" r:id="rId2"/>
    <sheet name="Resultat" sheetId="4" r:id="rId3"/>
    <sheet name="Base de donné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X5" i="4"/>
  <c r="P5" i="4"/>
  <c r="H5" i="4"/>
  <c r="F40" i="4"/>
  <c r="V29" i="4"/>
  <c r="V27" i="4"/>
  <c r="V25" i="4"/>
  <c r="V23" i="4"/>
  <c r="V16" i="4"/>
  <c r="V14" i="4"/>
  <c r="V12" i="4"/>
  <c r="V10" i="4"/>
  <c r="N29" i="4"/>
  <c r="N27" i="4"/>
  <c r="N25" i="4"/>
  <c r="N23" i="4"/>
  <c r="N16" i="4"/>
  <c r="N14" i="4"/>
  <c r="N12" i="4"/>
  <c r="N10" i="4"/>
  <c r="F29" i="4"/>
  <c r="F27" i="4"/>
  <c r="F25" i="4"/>
  <c r="F23" i="4"/>
  <c r="F16" i="4"/>
  <c r="F14" i="4"/>
  <c r="F12" i="4"/>
  <c r="F10" i="4"/>
  <c r="F46" i="4"/>
  <c r="F44" i="4"/>
  <c r="F42" i="4"/>
  <c r="F38" i="4"/>
  <c r="F36" i="4"/>
  <c r="AG3" i="2"/>
  <c r="W3" i="2"/>
  <c r="R3" i="2"/>
  <c r="AB3" i="2"/>
  <c r="H3" i="2"/>
  <c r="M3" i="2"/>
</calcChain>
</file>

<file path=xl/sharedStrings.xml><?xml version="1.0" encoding="utf-8"?>
<sst xmlns="http://schemas.openxmlformats.org/spreadsheetml/2006/main" count="170" uniqueCount="109">
  <si>
    <t>C1</t>
  </si>
  <si>
    <t>C2</t>
  </si>
  <si>
    <t>C3</t>
  </si>
  <si>
    <t>C4</t>
  </si>
  <si>
    <t>C5</t>
  </si>
  <si>
    <t>C6</t>
  </si>
  <si>
    <t>id_diagnostic</t>
  </si>
  <si>
    <t>nom_utilisateur</t>
  </si>
  <si>
    <t>nom_diagnostic</t>
  </si>
  <si>
    <t>Oui</t>
  </si>
  <si>
    <t>MAIAT</t>
  </si>
  <si>
    <t xml:space="preserve">Le système à base d'IA réduit-il la distinction entre les novices et les experts ? </t>
  </si>
  <si>
    <t>La reconnaissance</t>
  </si>
  <si>
    <t xml:space="preserve">Le système à base d'IA supprime-t-il des tâches pénibles, répétitives ou dangereuses ? </t>
  </si>
  <si>
    <t>L'introduction de la technologie rend-elle moins visible le résultat de l'activité du travailleur ?</t>
  </si>
  <si>
    <t>Des tâches requérant auparavant de l'expertise sont-elles désormais partiellement ou totalement automatisées ?</t>
  </si>
  <si>
    <t>C1Q1</t>
  </si>
  <si>
    <t>C2Q2</t>
  </si>
  <si>
    <t>C1Q3</t>
  </si>
  <si>
    <t>C1Q2</t>
  </si>
  <si>
    <t>C1Q4</t>
  </si>
  <si>
    <t xml:space="preserve">La technologie introduit-elle des flux d'informations directs entre des machines, rendant obsolète le besoin communicationnel entre personnes? </t>
  </si>
  <si>
    <t>Les relations humaines</t>
  </si>
  <si>
    <t>La technologie crée-t-elle une interaction humain-machine au détriment d'une communication entre personnes?</t>
  </si>
  <si>
    <t xml:space="preserve">La technologie intervient-elle dans la communication entre plusieurs personnes? </t>
  </si>
  <si>
    <t>Le système à base d'IA impose-t-il des lexiques et des syntaxes standardisés pour communiquer ?</t>
  </si>
  <si>
    <t>C2Q1</t>
  </si>
  <si>
    <t>C2Q3</t>
  </si>
  <si>
    <t>C2Q4</t>
  </si>
  <si>
    <t>C3Q1</t>
  </si>
  <si>
    <t>C3Q2</t>
  </si>
  <si>
    <t>C3Q3</t>
  </si>
  <si>
    <t>C3Q4</t>
  </si>
  <si>
    <t>C4Q1</t>
  </si>
  <si>
    <t>C4Q2</t>
  </si>
  <si>
    <t>C4Q3</t>
  </si>
  <si>
    <t>C4Q4</t>
  </si>
  <si>
    <t>C5Q1</t>
  </si>
  <si>
    <t>C5Q2</t>
  </si>
  <si>
    <t>C5Q3</t>
  </si>
  <si>
    <t>C5Q4</t>
  </si>
  <si>
    <t>C6Q1</t>
  </si>
  <si>
    <t>C6Q2</t>
  </si>
  <si>
    <t>C6Q3</t>
  </si>
  <si>
    <t>C6Q4</t>
  </si>
  <si>
    <t>NOM DIAGNOSTIC</t>
  </si>
  <si>
    <t>NOM UTILISATEUR</t>
  </si>
  <si>
    <t>ID DIAGNOSTIC</t>
  </si>
  <si>
    <t>Le système à base d'IA intègre-t-il une caméra/micro susceptible de filmer/écouter le travailleur ou d’être perçu comme tel ?</t>
  </si>
  <si>
    <t>La surveillance</t>
  </si>
  <si>
    <t xml:space="preserve">La technologie implique-t-elle des identifiants permettant de collecter des données sur son utilisateur ? </t>
  </si>
  <si>
    <t>Les données collectées par le système à base d'IA sont-elles exploitées pour mesurer la productivité de son utilisateur ?</t>
  </si>
  <si>
    <t>La finalité de l’utilisation des données est-elle transparente ?</t>
  </si>
  <si>
    <t>L'autonomie</t>
  </si>
  <si>
    <t>Le système à base d'IA détermine-t-il un déroulement de l’action du travailleur ?</t>
  </si>
  <si>
    <t>Le système à base d'IA émet-il des notifications à l’adresse du travailleur ?</t>
  </si>
  <si>
    <t>Le système à base d'IA réduit-il ou rend-il plus difficile la prise d’initiative pour le travailleur ?</t>
  </si>
  <si>
    <t>Le travailleur dispose-t-il de marge manœuvre convenue dans l’utilisation ou l’interprétation du système à base d'IA ?</t>
  </si>
  <si>
    <t xml:space="preserve">Le système à base d'IA modifie t-il l'équilibre entre intervention directe sur le produit et supervision de la machine? </t>
  </si>
  <si>
    <t xml:space="preserve">La technologie rend-elle l'activité plus facile à réaliser par tout un chacun? </t>
  </si>
  <si>
    <t xml:space="preserve">Le système à base d'IA rend-il des savoir-faire obsolètes ? </t>
  </si>
  <si>
    <t xml:space="preserve">Le système à base d'IA génère t-il de nouvelles tâches pour le travailleur? </t>
  </si>
  <si>
    <t>Le savoir faire</t>
  </si>
  <si>
    <t xml:space="preserve">L’imputation de responsabilités en cas de problème est-elle un enjeu majeur de l’activité et de l’organisation ? </t>
  </si>
  <si>
    <t>Le système à base d'IA utilise des algorithmes d’apprentissage lui permettant de s’adapter de façon autonome dans un environnement aléatoire ?</t>
  </si>
  <si>
    <t xml:space="preserve">Le système à base d'IA réduit-il la liberté de prise d'initiative du travailleur? </t>
  </si>
  <si>
    <t>Pensez-vous que le système à base d'IA pourrait pousser le travailleur à moins s'investir dans ses tâches et/ou de ses responsabilités ?</t>
  </si>
  <si>
    <t>La responsabilité</t>
  </si>
  <si>
    <t>test1</t>
  </si>
  <si>
    <t>U1</t>
  </si>
  <si>
    <t xml:space="preserve">RECHERCHE PAR ID </t>
  </si>
  <si>
    <t>Reconnaissance</t>
  </si>
  <si>
    <t>Recapitulatif</t>
  </si>
  <si>
    <t>Reconnaissance de l’individu : un expert se distingue par des performances plus élevées. En généralisant l'expertise, la technologie peut réduire cette différence et alimenter le sentiment d'être facilement substituable.</t>
  </si>
  <si>
    <t xml:space="preserve">Reconnaissance de la pratique: Le savoir-faire est à la base de la reconnaissance des travailleurs. En automatisant un savoir-faire ces derniers perdent un élément de distinction. </t>
  </si>
  <si>
    <t>Reconnaissance des efforts: Certaines tâches répétitives ne permettent pas aux travailleurs de se distinguer. Attention toutefois, un travailleur peut se distinguer par des performances physiques supérieures.</t>
  </si>
  <si>
    <t>Reconnaissance du résultat: Une technologie peut invisibiliser le produit du savoir-faire des travailleurs.</t>
  </si>
  <si>
    <t xml:space="preserve">La soustraction pure et simple de l’humain dans un système de communication peut avoir des impacts importants, pas seulement socialement mais aussi dans le travail. </t>
  </si>
  <si>
    <t>Le remplacement d’une communication humaine par une interaction humain machine peut entraîner un isolement social et une perte de partage d’informations.</t>
  </si>
  <si>
    <t>Une technologie de communication a des effets de formatage sur l’émission et la réception d’une information. Ces effets doivent faire l’objet d’un suivi qualifiant l’impact sur l’intercompréhension.</t>
  </si>
  <si>
    <t>L’automatisation des modalités d’interactions peut induire une limitation du langage préjudiciable aux travailleurs (RPS) et à la précision de la description des situations.</t>
  </si>
  <si>
    <t>Que ces appareils soient utilisés pour la surveillance ou non, ils portent un imaginaire fortement ancré qui sera plus ou moins activé suivant la technologie.</t>
  </si>
  <si>
    <t xml:space="preserve">La personnification des données recueillies augmente significativement la méfiance. </t>
  </si>
  <si>
    <t>La collecte de données d'activité du travailleur peut être exploitée pour augmenter sa productivité et intensifier le travail.</t>
  </si>
  <si>
    <t xml:space="preserve">Les machines et plus spécifiquement celles à base d’IA renvoient à un imaginaire important. L'absence de transparence de la finalité des données augmente la méfiance. </t>
  </si>
  <si>
    <t>La planification et l'organisation font partie intégrante du savoir-faire des travailleurs. Dicter le rythme peut entraîner une souffrance au travail et dégrader la flexibilité cognitive permettant de s’adapter aux aléas.</t>
  </si>
  <si>
    <t>Les notifications peuvent interrompre les travailleurs dans leur activité. Elles peuvent aussi interférer sur la liberté de jugement.</t>
  </si>
  <si>
    <t>La technologie peut faire passer les travailleurs d’une logique pro-active à une logique réactive. Ils peuvent aussi ne plus oser de peur de questionner le processus algorithmique ou de se tromper.</t>
  </si>
  <si>
    <t xml:space="preserve">L’absence de marge de manoeuvre autorisée par l’organisation vis à vis de la technologie peut réduire sa capacité d’adaptation et l’intérêt qu’il ressentira pour son activité. </t>
  </si>
  <si>
    <t xml:space="preserve">Quand l’activité du travailleur n’est plus de produire mais d’agir sur les machines de production, alors celui-ci peut ressentir une plus value réduite ou une perte d’intérêt. </t>
  </si>
  <si>
    <t xml:space="preserve">Il est possible que la technologie réalise les tâches à haute valeur ajoutée, laissant au travailleur des tâches nécessitant moins de savoir-faire. </t>
  </si>
  <si>
    <t>Cette obsolescence impacte l’estime que le travailleur a de lui même mais aussi sa place dans l’organisation.</t>
  </si>
  <si>
    <t>La technologie peut s’emparer des tâches à faible valeur ajoutée, permettant au travailleur de réaliser des tâches complexes dans lesquelles il exprime son savoir-faire ou un nouveau savoir-faire, comme l’utilisation de la technologie.</t>
  </si>
  <si>
    <t>L'introduction d'une technologie qui automatise des tâches produit une nouvelle division du travail. Toute division du travail réduit le sentiment de responsabilité de chacun vis-à-vis de l'ensemble.</t>
  </si>
  <si>
    <t>Les algorithmes d'apprentissage sont supposés pouvoir s'adapter à un environnement aléatoire. Cela complexifie l'imputation des responsabilités quand la décision résulte d'un apprentissage et non d'une règle que la technologie se contente d'appliquer.</t>
  </si>
  <si>
    <t>Le sentiment de responsabilité est proportionnel à l'espace de liberté. Lorsqu'une technologie interfère dans le jugement du travailleur, cela peut inhiber son libre-arbitre et réduire son engagement moral vis-à-vis des conséquences de son action.</t>
  </si>
  <si>
    <t>La supériorité présupposée de la technologie peut conduire le travailleur à s'effacer devant l' "autorité machinique" au détriment de sa propre perception des situations. La performance de la technologie a pour corollaire un désengagement humain.</t>
  </si>
  <si>
    <t>Bienvenue sur l'outil MAIAT</t>
  </si>
  <si>
    <t xml:space="preserve">Les seules cases à completer sont les cases au fond jaune. </t>
  </si>
  <si>
    <t>- repondre à 24 questions par "Oui" ou par "Non"</t>
  </si>
  <si>
    <t>Dans l'onglet Diagnostic, vous devrez :</t>
  </si>
  <si>
    <t>- renter le nom du Diagnostic</t>
  </si>
  <si>
    <t>- renter votre nom</t>
  </si>
  <si>
    <t>L'ID du diagnostic s'auto-incremente tout seul</t>
  </si>
  <si>
    <t xml:space="preserve">Veuillez le conserver afin de facilement afficher vos résultats. </t>
  </si>
  <si>
    <t xml:space="preserve">Pour valider votre diagnostic il faut appuyer sur le bouton "Sauvegarder". </t>
  </si>
  <si>
    <t>Dans l'onglet Resultat, il faut uniquement renter l'ID du diagnotic voulu</t>
  </si>
  <si>
    <t>Dans l'onglet Base de données, vous retrouverez tous les diagnotics déjà réalisés.</t>
  </si>
  <si>
    <t xml:space="preserve">Si vous ne vous souvenez plus de l'ID d'un diagnostic, vous pouvez retrouver cette information dans l'onglet Base de donées.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</si>
</sst>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72"/>
      <color rgb="FF0070C0"/>
      <name val="Calibri"/>
      <family val="2"/>
      <scheme val="minor"/>
    </font>
    <font>
      <sz val="11"/>
      <color rgb="FFFF990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6" xfId="0" applyFill="1" applyBorder="1"/>
    <xf numFmtId="0" fontId="1" fillId="2" borderId="0" xfId="0" applyFont="1" applyFill="1" applyAlignment="1">
      <alignment horizontal="center" vertical="center" wrapText="1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3" borderId="0" xfId="0" applyFont="1" applyFill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3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6" fillId="0" borderId="0" xfId="0" applyFont="1" applyAlignment="1">
      <alignment horizontal="center" vertical="center"/>
    </xf>
    <xf numFmtId="0" fontId="2" fillId="2" borderId="3" xfId="0" applyFont="1" applyFill="1" applyBorder="1"/>
    <xf numFmtId="0" fontId="7" fillId="2" borderId="8" xfId="0" applyFont="1" applyFill="1" applyBorder="1"/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0" fillId="4" borderId="0" xfId="0" applyFill="1"/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3" borderId="0" xfId="0" applyFont="1" applyFill="1"/>
    <xf numFmtId="0" fontId="7" fillId="3" borderId="0" xfId="0" applyFont="1" applyFill="1"/>
    <xf numFmtId="0" fontId="0" fillId="2" borderId="0" xfId="0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3" borderId="0" xfId="0" applyFill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24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(Resultat!$D$36,Resultat!$D$38,Resultat!$D$40,Resultat!$D$42,Resultat!$D$44,Resultat!$D$46)</c:f>
              <c:strCache>
                <c:ptCount val="6"/>
                <c:pt idx="0">
                  <c:v>Reconnaissance</c:v>
                </c:pt>
                <c:pt idx="1">
                  <c:v>Les relations humaines</c:v>
                </c:pt>
                <c:pt idx="2">
                  <c:v>La surveillance</c:v>
                </c:pt>
                <c:pt idx="3">
                  <c:v>L'autonomie</c:v>
                </c:pt>
                <c:pt idx="4">
                  <c:v>Le savoir faire</c:v>
                </c:pt>
                <c:pt idx="5">
                  <c:v>La responsabilité</c:v>
                </c:pt>
              </c:strCache>
            </c:strRef>
          </c:cat>
          <c:val>
            <c:numRef>
              <c:f>(Resultat!$F$36,Resultat!$F$38,Resultat!$F$40,Resultat!$F$42,Resultat!$F$44,Resultat!$F$46)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E-48A7-9162-67143B948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39760"/>
        <c:axId val="686840744"/>
      </c:radarChart>
      <c:catAx>
        <c:axId val="68683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40744"/>
        <c:crosses val="autoZero"/>
        <c:auto val="1"/>
        <c:lblAlgn val="ctr"/>
        <c:lblOffset val="100"/>
        <c:noMultiLvlLbl val="0"/>
      </c:catAx>
      <c:valAx>
        <c:axId val="6868407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32</xdr:row>
          <xdr:rowOff>121920</xdr:rowOff>
        </xdr:from>
        <xdr:to>
          <xdr:col>18</xdr:col>
          <xdr:colOff>388620</xdr:colOff>
          <xdr:row>35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1133474</xdr:colOff>
      <xdr:row>35</xdr:row>
      <xdr:rowOff>295274</xdr:rowOff>
    </xdr:from>
    <xdr:to>
      <xdr:col>11</xdr:col>
      <xdr:colOff>2038350</xdr:colOff>
      <xdr:row>46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B24-08E3-481F-A879-A21E5C9981B9}">
  <dimension ref="A2:B17"/>
  <sheetViews>
    <sheetView workbookViewId="0">
      <selection activeCell="C11" sqref="C11"/>
    </sheetView>
  </sheetViews>
  <sheetFormatPr baseColWidth="10" defaultRowHeight="14.4" x14ac:dyDescent="0.3"/>
  <sheetData>
    <row r="2" spans="1:2" x14ac:dyDescent="0.3">
      <c r="A2" t="s">
        <v>97</v>
      </c>
    </row>
    <row r="4" spans="1:2" x14ac:dyDescent="0.3">
      <c r="A4" t="s">
        <v>98</v>
      </c>
    </row>
    <row r="6" spans="1:2" x14ac:dyDescent="0.3">
      <c r="A6" t="s">
        <v>100</v>
      </c>
    </row>
    <row r="7" spans="1:2" x14ac:dyDescent="0.3">
      <c r="B7" s="48" t="s">
        <v>101</v>
      </c>
    </row>
    <row r="8" spans="1:2" x14ac:dyDescent="0.3">
      <c r="B8" s="48" t="s">
        <v>102</v>
      </c>
    </row>
    <row r="9" spans="1:2" x14ac:dyDescent="0.3">
      <c r="B9" s="48" t="s">
        <v>99</v>
      </c>
    </row>
    <row r="10" spans="1:2" x14ac:dyDescent="0.3">
      <c r="A10" t="s">
        <v>103</v>
      </c>
      <c r="B10" s="48"/>
    </row>
    <row r="11" spans="1:2" x14ac:dyDescent="0.3">
      <c r="A11" t="s">
        <v>104</v>
      </c>
    </row>
    <row r="12" spans="1:2" x14ac:dyDescent="0.3">
      <c r="A12" t="s">
        <v>105</v>
      </c>
    </row>
    <row r="14" spans="1:2" x14ac:dyDescent="0.3">
      <c r="A14" t="s">
        <v>106</v>
      </c>
    </row>
    <row r="15" spans="1:2" x14ac:dyDescent="0.3">
      <c r="A15" t="s">
        <v>108</v>
      </c>
    </row>
    <row r="17" spans="1:1" x14ac:dyDescent="0.3">
      <c r="A17" t="s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FF396-5132-4C1E-A433-5AE81136619A}">
  <sheetPr codeName="Feuil1"/>
  <dimension ref="B1:T38"/>
  <sheetViews>
    <sheetView showGridLines="0" zoomScale="40" zoomScaleNormal="40" workbookViewId="0">
      <selection activeCell="J4" sqref="J4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9" max="9" width="5.77734375" customWidth="1"/>
    <col min="10" max="10" width="50.77734375" customWidth="1"/>
    <col min="11" max="11" width="5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</cols>
  <sheetData>
    <row r="1" spans="2:20" ht="15" thickBot="1" x14ac:dyDescent="0.35"/>
    <row r="2" spans="2:20" x14ac:dyDescent="0.3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6"/>
    </row>
    <row r="3" spans="2:20" ht="30" customHeight="1" x14ac:dyDescent="0.3">
      <c r="B3" s="17"/>
      <c r="D3" s="28" t="s">
        <v>47</v>
      </c>
      <c r="E3" s="27"/>
      <c r="F3" s="27"/>
      <c r="J3" s="40" t="e">
        <f>'Base de données'!#REF!+1</f>
        <v>#REF!</v>
      </c>
      <c r="O3" s="50" t="s">
        <v>10</v>
      </c>
      <c r="P3" s="50"/>
      <c r="Q3" s="50"/>
      <c r="R3" s="50"/>
      <c r="S3" s="50"/>
      <c r="T3" s="18"/>
    </row>
    <row r="4" spans="2:20" x14ac:dyDescent="0.3">
      <c r="B4" s="17"/>
      <c r="O4" s="50"/>
      <c r="P4" s="50"/>
      <c r="Q4" s="50"/>
      <c r="R4" s="50"/>
      <c r="S4" s="50"/>
      <c r="T4" s="18"/>
    </row>
    <row r="5" spans="2:20" ht="28.8" customHeight="1" x14ac:dyDescent="0.3">
      <c r="B5" s="17"/>
      <c r="D5" s="28" t="s">
        <v>45</v>
      </c>
      <c r="E5" s="27"/>
      <c r="F5" s="27"/>
      <c r="J5" s="41"/>
      <c r="O5" s="50"/>
      <c r="P5" s="50"/>
      <c r="Q5" s="50"/>
      <c r="R5" s="50"/>
      <c r="S5" s="50"/>
      <c r="T5" s="18"/>
    </row>
    <row r="6" spans="2:20" x14ac:dyDescent="0.3">
      <c r="B6" s="17"/>
      <c r="O6" s="50"/>
      <c r="P6" s="50"/>
      <c r="Q6" s="50"/>
      <c r="R6" s="50"/>
      <c r="S6" s="50"/>
      <c r="T6" s="18"/>
    </row>
    <row r="7" spans="2:20" ht="30.6" customHeight="1" x14ac:dyDescent="0.3">
      <c r="B7" s="17"/>
      <c r="D7" s="28" t="s">
        <v>46</v>
      </c>
      <c r="E7" s="27"/>
      <c r="F7" s="27"/>
      <c r="J7" s="41"/>
      <c r="O7" s="50"/>
      <c r="P7" s="50"/>
      <c r="Q7" s="50"/>
      <c r="R7" s="50"/>
      <c r="S7" s="50"/>
      <c r="T7" s="18"/>
    </row>
    <row r="8" spans="2:20" x14ac:dyDescent="0.3">
      <c r="B8" s="17"/>
      <c r="T8" s="18"/>
    </row>
    <row r="9" spans="2:20" x14ac:dyDescent="0.3">
      <c r="B9" s="19"/>
      <c r="C9" s="1"/>
      <c r="D9" s="52"/>
      <c r="E9" s="52"/>
      <c r="F9" s="52"/>
      <c r="G9" s="2"/>
      <c r="I9" s="1"/>
      <c r="J9" s="24"/>
      <c r="K9" s="24"/>
      <c r="L9" s="24"/>
      <c r="M9" s="2"/>
      <c r="O9" s="1"/>
      <c r="P9" s="24"/>
      <c r="Q9" s="24"/>
      <c r="R9" s="24"/>
      <c r="S9" s="2"/>
      <c r="T9" s="18"/>
    </row>
    <row r="10" spans="2:20" ht="25.8" x14ac:dyDescent="0.5">
      <c r="B10" s="19"/>
      <c r="C10" s="3"/>
      <c r="D10" s="51" t="s">
        <v>12</v>
      </c>
      <c r="E10" s="51"/>
      <c r="F10" s="51"/>
      <c r="G10" s="6"/>
      <c r="I10" s="3"/>
      <c r="J10" s="51" t="s">
        <v>49</v>
      </c>
      <c r="K10" s="51"/>
      <c r="L10" s="51"/>
      <c r="M10" s="6"/>
      <c r="O10" s="3"/>
      <c r="P10" s="51" t="s">
        <v>62</v>
      </c>
      <c r="Q10" s="51"/>
      <c r="R10" s="51"/>
      <c r="S10" s="6"/>
      <c r="T10" s="18"/>
    </row>
    <row r="11" spans="2:20" x14ac:dyDescent="0.3">
      <c r="B11" s="19"/>
      <c r="C11" s="3"/>
      <c r="D11" s="4"/>
      <c r="E11" s="4"/>
      <c r="F11" s="5"/>
      <c r="G11" s="6"/>
      <c r="I11" s="3"/>
      <c r="J11" s="4"/>
      <c r="K11" s="4"/>
      <c r="L11" s="5"/>
      <c r="M11" s="6"/>
      <c r="O11" s="3"/>
      <c r="P11" s="4"/>
      <c r="Q11" s="4"/>
      <c r="R11" s="5"/>
      <c r="S11" s="6"/>
      <c r="T11" s="18"/>
    </row>
    <row r="12" spans="2:20" ht="49.95" customHeight="1" x14ac:dyDescent="0.3">
      <c r="B12" s="19"/>
      <c r="C12" s="3"/>
      <c r="D12" s="11" t="s">
        <v>11</v>
      </c>
      <c r="E12" s="4"/>
      <c r="F12" s="47"/>
      <c r="G12" s="6"/>
      <c r="I12" s="3"/>
      <c r="J12" s="11" t="s">
        <v>48</v>
      </c>
      <c r="K12" s="4"/>
      <c r="L12" s="47"/>
      <c r="M12" s="6"/>
      <c r="O12" s="3"/>
      <c r="P12" s="11" t="s">
        <v>58</v>
      </c>
      <c r="Q12" s="4"/>
      <c r="R12" s="47"/>
      <c r="S12" s="6"/>
      <c r="T12" s="18"/>
    </row>
    <row r="13" spans="2:20" x14ac:dyDescent="0.3">
      <c r="B13" s="19"/>
      <c r="C13" s="3"/>
      <c r="D13" s="4"/>
      <c r="E13" s="4"/>
      <c r="F13" s="5"/>
      <c r="G13" s="6"/>
      <c r="I13" s="3"/>
      <c r="J13" s="4"/>
      <c r="K13" s="4"/>
      <c r="L13" s="5"/>
      <c r="M13" s="6"/>
      <c r="O13" s="3"/>
      <c r="P13" s="4"/>
      <c r="Q13" s="4"/>
      <c r="R13" s="5"/>
      <c r="S13" s="6"/>
      <c r="T13" s="18"/>
    </row>
    <row r="14" spans="2:20" ht="49.95" customHeight="1" x14ac:dyDescent="0.3">
      <c r="B14" s="17"/>
      <c r="C14" s="3"/>
      <c r="D14" s="11" t="s">
        <v>15</v>
      </c>
      <c r="E14" s="4"/>
      <c r="F14" s="47"/>
      <c r="G14" s="6"/>
      <c r="I14" s="3"/>
      <c r="J14" s="11" t="s">
        <v>50</v>
      </c>
      <c r="K14" s="4"/>
      <c r="L14" s="47"/>
      <c r="M14" s="6"/>
      <c r="O14" s="3"/>
      <c r="P14" s="11" t="s">
        <v>59</v>
      </c>
      <c r="Q14" s="4"/>
      <c r="R14" s="47"/>
      <c r="S14" s="6"/>
      <c r="T14" s="18"/>
    </row>
    <row r="15" spans="2:20" x14ac:dyDescent="0.3">
      <c r="B15" s="17"/>
      <c r="C15" s="3"/>
      <c r="D15" s="4"/>
      <c r="E15" s="4"/>
      <c r="F15" s="5"/>
      <c r="G15" s="6"/>
      <c r="I15" s="3"/>
      <c r="J15" s="4"/>
      <c r="K15" s="4"/>
      <c r="L15" s="5"/>
      <c r="M15" s="6"/>
      <c r="O15" s="3"/>
      <c r="P15" s="4"/>
      <c r="Q15" s="4"/>
      <c r="R15" s="5"/>
      <c r="S15" s="6"/>
      <c r="T15" s="18"/>
    </row>
    <row r="16" spans="2:20" ht="49.95" customHeight="1" x14ac:dyDescent="0.3">
      <c r="B16" s="17"/>
      <c r="C16" s="3"/>
      <c r="D16" s="11" t="s">
        <v>13</v>
      </c>
      <c r="E16" s="4"/>
      <c r="F16" s="47"/>
      <c r="G16" s="6"/>
      <c r="I16" s="3"/>
      <c r="J16" s="11" t="s">
        <v>51</v>
      </c>
      <c r="K16" s="4"/>
      <c r="L16" s="47"/>
      <c r="M16" s="6"/>
      <c r="O16" s="3"/>
      <c r="P16" s="11" t="s">
        <v>60</v>
      </c>
      <c r="Q16" s="4"/>
      <c r="R16" s="47"/>
      <c r="S16" s="6"/>
      <c r="T16" s="18"/>
    </row>
    <row r="17" spans="2:20" x14ac:dyDescent="0.3">
      <c r="B17" s="17"/>
      <c r="C17" s="3"/>
      <c r="D17" s="4"/>
      <c r="E17" s="4"/>
      <c r="F17" s="4"/>
      <c r="G17" s="6"/>
      <c r="I17" s="3"/>
      <c r="J17" s="4"/>
      <c r="K17" s="4"/>
      <c r="L17" s="4"/>
      <c r="M17" s="6"/>
      <c r="O17" s="3"/>
      <c r="P17" s="4"/>
      <c r="Q17" s="4"/>
      <c r="R17" s="4"/>
      <c r="S17" s="6"/>
      <c r="T17" s="18"/>
    </row>
    <row r="18" spans="2:20" ht="49.95" customHeight="1" x14ac:dyDescent="0.3">
      <c r="B18" s="17"/>
      <c r="C18" s="3"/>
      <c r="D18" s="11" t="s">
        <v>14</v>
      </c>
      <c r="E18" s="4"/>
      <c r="F18" s="47"/>
      <c r="G18" s="6"/>
      <c r="I18" s="3"/>
      <c r="J18" s="11" t="s">
        <v>52</v>
      </c>
      <c r="K18" s="4"/>
      <c r="L18" s="47"/>
      <c r="M18" s="6"/>
      <c r="O18" s="3"/>
      <c r="P18" s="11" t="s">
        <v>61</v>
      </c>
      <c r="Q18" s="4"/>
      <c r="R18" s="47"/>
      <c r="S18" s="6"/>
      <c r="T18" s="18"/>
    </row>
    <row r="19" spans="2:20" x14ac:dyDescent="0.3">
      <c r="B19" s="17"/>
      <c r="C19" s="8"/>
      <c r="D19" s="9"/>
      <c r="E19" s="9"/>
      <c r="F19" s="9"/>
      <c r="G19" s="10"/>
      <c r="I19" s="8"/>
      <c r="J19" s="9"/>
      <c r="K19" s="9"/>
      <c r="L19" s="9"/>
      <c r="M19" s="10"/>
      <c r="O19" s="8"/>
      <c r="P19" s="9"/>
      <c r="Q19" s="9"/>
      <c r="R19" s="9"/>
      <c r="S19" s="10"/>
      <c r="T19" s="18"/>
    </row>
    <row r="20" spans="2:20" x14ac:dyDescent="0.3">
      <c r="B20" s="17"/>
      <c r="T20" s="18"/>
    </row>
    <row r="21" spans="2:20" x14ac:dyDescent="0.3">
      <c r="B21" s="17"/>
      <c r="C21" s="1"/>
      <c r="D21" s="24"/>
      <c r="E21" s="24"/>
      <c r="F21" s="24"/>
      <c r="G21" s="2"/>
      <c r="I21" s="1"/>
      <c r="J21" s="24"/>
      <c r="K21" s="24"/>
      <c r="L21" s="24"/>
      <c r="M21" s="2"/>
      <c r="O21" s="1"/>
      <c r="P21" s="24"/>
      <c r="Q21" s="24"/>
      <c r="R21" s="24"/>
      <c r="S21" s="2"/>
      <c r="T21" s="18"/>
    </row>
    <row r="22" spans="2:20" ht="25.8" x14ac:dyDescent="0.5">
      <c r="B22" s="17"/>
      <c r="C22" s="3"/>
      <c r="D22" s="51" t="s">
        <v>22</v>
      </c>
      <c r="E22" s="51"/>
      <c r="F22" s="51"/>
      <c r="G22" s="6"/>
      <c r="I22" s="3"/>
      <c r="J22" s="51" t="s">
        <v>53</v>
      </c>
      <c r="K22" s="51"/>
      <c r="L22" s="51"/>
      <c r="M22" s="6"/>
      <c r="O22" s="3"/>
      <c r="P22" s="51" t="s">
        <v>67</v>
      </c>
      <c r="Q22" s="51"/>
      <c r="R22" s="51"/>
      <c r="S22" s="6"/>
      <c r="T22" s="18"/>
    </row>
    <row r="23" spans="2:20" x14ac:dyDescent="0.3">
      <c r="B23" s="17"/>
      <c r="C23" s="3"/>
      <c r="D23" s="4"/>
      <c r="E23" s="4"/>
      <c r="F23" s="5"/>
      <c r="G23" s="6"/>
      <c r="I23" s="3"/>
      <c r="J23" s="4"/>
      <c r="K23" s="4"/>
      <c r="L23" s="5"/>
      <c r="M23" s="6"/>
      <c r="O23" s="3"/>
      <c r="P23" s="4"/>
      <c r="Q23" s="4"/>
      <c r="R23" s="5"/>
      <c r="S23" s="6"/>
      <c r="T23" s="18"/>
    </row>
    <row r="24" spans="2:20" ht="49.95" customHeight="1" x14ac:dyDescent="0.3">
      <c r="B24" s="17"/>
      <c r="C24" s="3"/>
      <c r="D24" s="11" t="s">
        <v>21</v>
      </c>
      <c r="E24" s="4"/>
      <c r="F24" s="47"/>
      <c r="G24" s="6"/>
      <c r="I24" s="3"/>
      <c r="J24" s="11" t="s">
        <v>54</v>
      </c>
      <c r="K24" s="4"/>
      <c r="L24" s="47"/>
      <c r="M24" s="6"/>
      <c r="O24" s="3"/>
      <c r="P24" s="11" t="s">
        <v>63</v>
      </c>
      <c r="Q24" s="4"/>
      <c r="R24" s="47"/>
      <c r="S24" s="6"/>
      <c r="T24" s="18"/>
    </row>
    <row r="25" spans="2:20" x14ac:dyDescent="0.3">
      <c r="B25" s="17"/>
      <c r="C25" s="3"/>
      <c r="D25" s="4"/>
      <c r="E25" s="4"/>
      <c r="F25" s="5"/>
      <c r="G25" s="6"/>
      <c r="I25" s="3"/>
      <c r="J25" s="4"/>
      <c r="K25" s="4"/>
      <c r="L25" s="5"/>
      <c r="M25" s="6"/>
      <c r="O25" s="3"/>
      <c r="P25" s="4"/>
      <c r="Q25" s="4"/>
      <c r="R25" s="5"/>
      <c r="S25" s="6"/>
      <c r="T25" s="18"/>
    </row>
    <row r="26" spans="2:20" ht="49.95" customHeight="1" x14ac:dyDescent="0.3">
      <c r="B26" s="17"/>
      <c r="C26" s="3"/>
      <c r="D26" s="11" t="s">
        <v>23</v>
      </c>
      <c r="E26" s="4"/>
      <c r="F26" s="47"/>
      <c r="G26" s="6"/>
      <c r="I26" s="3"/>
      <c r="J26" s="11" t="s">
        <v>55</v>
      </c>
      <c r="K26" s="4"/>
      <c r="L26" s="47"/>
      <c r="M26" s="6"/>
      <c r="O26" s="3"/>
      <c r="P26" s="11" t="s">
        <v>64</v>
      </c>
      <c r="Q26" s="4"/>
      <c r="R26" s="47"/>
      <c r="S26" s="6"/>
      <c r="T26" s="18"/>
    </row>
    <row r="27" spans="2:20" x14ac:dyDescent="0.3">
      <c r="B27" s="17"/>
      <c r="C27" s="3"/>
      <c r="D27" s="4"/>
      <c r="E27" s="4"/>
      <c r="F27" s="5"/>
      <c r="G27" s="6"/>
      <c r="I27" s="3"/>
      <c r="J27" s="4"/>
      <c r="K27" s="4"/>
      <c r="L27" s="5"/>
      <c r="M27" s="6"/>
      <c r="O27" s="3"/>
      <c r="P27" s="4"/>
      <c r="Q27" s="4"/>
      <c r="R27" s="5"/>
      <c r="S27" s="6"/>
      <c r="T27" s="18"/>
    </row>
    <row r="28" spans="2:20" ht="49.95" customHeight="1" x14ac:dyDescent="0.3">
      <c r="B28" s="17"/>
      <c r="C28" s="3"/>
      <c r="D28" s="11" t="s">
        <v>24</v>
      </c>
      <c r="E28" s="4"/>
      <c r="F28" s="47"/>
      <c r="G28" s="6"/>
      <c r="I28" s="3"/>
      <c r="J28" s="11" t="s">
        <v>56</v>
      </c>
      <c r="K28" s="4"/>
      <c r="L28" s="47"/>
      <c r="M28" s="6"/>
      <c r="O28" s="3"/>
      <c r="P28" s="11" t="s">
        <v>65</v>
      </c>
      <c r="Q28" s="4"/>
      <c r="R28" s="47"/>
      <c r="S28" s="6"/>
      <c r="T28" s="18"/>
    </row>
    <row r="29" spans="2:20" x14ac:dyDescent="0.3">
      <c r="B29" s="17"/>
      <c r="C29" s="3"/>
      <c r="D29" s="4"/>
      <c r="E29" s="4"/>
      <c r="F29" s="4"/>
      <c r="G29" s="6"/>
      <c r="I29" s="3"/>
      <c r="J29" s="4"/>
      <c r="K29" s="4"/>
      <c r="L29" s="4"/>
      <c r="M29" s="6"/>
      <c r="O29" s="3"/>
      <c r="P29" s="4"/>
      <c r="Q29" s="4"/>
      <c r="R29" s="4"/>
      <c r="S29" s="6"/>
      <c r="T29" s="18"/>
    </row>
    <row r="30" spans="2:20" ht="49.95" customHeight="1" x14ac:dyDescent="0.3">
      <c r="B30" s="17"/>
      <c r="C30" s="3"/>
      <c r="D30" s="11" t="s">
        <v>25</v>
      </c>
      <c r="E30" s="4"/>
      <c r="F30" s="47"/>
      <c r="G30" s="6"/>
      <c r="I30" s="3"/>
      <c r="J30" s="11" t="s">
        <v>57</v>
      </c>
      <c r="K30" s="4"/>
      <c r="L30" s="47"/>
      <c r="M30" s="6"/>
      <c r="O30" s="3"/>
      <c r="P30" s="49" t="s">
        <v>66</v>
      </c>
      <c r="Q30" s="4"/>
      <c r="R30" s="47"/>
      <c r="S30" s="6"/>
      <c r="T30" s="18"/>
    </row>
    <row r="31" spans="2:20" x14ac:dyDescent="0.3">
      <c r="B31" s="17"/>
      <c r="C31" s="8"/>
      <c r="D31" s="9"/>
      <c r="E31" s="9"/>
      <c r="F31" s="9"/>
      <c r="G31" s="10"/>
      <c r="I31" s="8"/>
      <c r="J31" s="9"/>
      <c r="K31" s="9"/>
      <c r="L31" s="9"/>
      <c r="M31" s="10"/>
      <c r="O31" s="8"/>
      <c r="P31" s="25"/>
      <c r="Q31" s="9"/>
      <c r="R31" s="9"/>
      <c r="S31" s="10"/>
      <c r="T31" s="18"/>
    </row>
    <row r="32" spans="2:20" x14ac:dyDescent="0.3">
      <c r="B32" s="17"/>
      <c r="T32" s="18"/>
    </row>
    <row r="33" spans="2:20" x14ac:dyDescent="0.3">
      <c r="B33" s="17"/>
      <c r="T33" s="18"/>
    </row>
    <row r="34" spans="2:20" x14ac:dyDescent="0.3">
      <c r="B34" s="17"/>
      <c r="T34" s="18"/>
    </row>
    <row r="35" spans="2:20" x14ac:dyDescent="0.3">
      <c r="B35" s="17"/>
      <c r="T35" s="18"/>
    </row>
    <row r="36" spans="2:20" x14ac:dyDescent="0.3">
      <c r="B36" s="17"/>
      <c r="T36" s="18"/>
    </row>
    <row r="37" spans="2:20" x14ac:dyDescent="0.3">
      <c r="B37" s="17"/>
      <c r="T37" s="18"/>
    </row>
    <row r="38" spans="2:20" ht="15" thickBot="1" x14ac:dyDescent="0.35"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2"/>
    </row>
  </sheetData>
  <sheetProtection selectLockedCells="1"/>
  <mergeCells count="8">
    <mergeCell ref="O3:S7"/>
    <mergeCell ref="D10:F10"/>
    <mergeCell ref="D9:F9"/>
    <mergeCell ref="J22:L22"/>
    <mergeCell ref="J10:L10"/>
    <mergeCell ref="P10:R10"/>
    <mergeCell ref="P22:R22"/>
    <mergeCell ref="D22:F22"/>
  </mergeCells>
  <dataValidations count="1">
    <dataValidation type="list" showInputMessage="1" showErrorMessage="1" sqref="F12 R28 F14 F18 L18 F24 F16 F28 F26 L12 F30 L16 L28 L24 L26 R26 L14 R12 L30 R16 R14 R24 R18 R30" xr:uid="{51E73F8C-8108-44C9-AD16-B8D839C7384E}">
      <formula1>"Oui, Non"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15">
                <anchor moveWithCells="1">
                  <from>
                    <xdr:col>1</xdr:col>
                    <xdr:colOff>762000</xdr:colOff>
                    <xdr:row>32</xdr:row>
                    <xdr:rowOff>121920</xdr:rowOff>
                  </from>
                  <to>
                    <xdr:col>18</xdr:col>
                    <xdr:colOff>388620</xdr:colOff>
                    <xdr:row>35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F5807-CFC2-4CE9-B542-45FF774366AA}">
  <sheetPr codeName="Feuil3"/>
  <dimension ref="B1:Z48"/>
  <sheetViews>
    <sheetView showGridLines="0" zoomScale="25" zoomScaleNormal="25" workbookViewId="0">
      <selection activeCell="H3" sqref="H3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8" max="8" width="50.77734375" customWidth="1"/>
    <col min="9" max="9" width="5.77734375" customWidth="1"/>
    <col min="11" max="11" width="5.77734375" customWidth="1"/>
    <col min="12" max="12" width="50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  <col min="20" max="20" width="50.77734375" customWidth="1"/>
    <col min="21" max="21" width="5.77734375" customWidth="1"/>
    <col min="23" max="23" width="5.77734375" customWidth="1"/>
    <col min="24" max="24" width="50.77734375" customWidth="1"/>
    <col min="25" max="25" width="5.77734375" customWidth="1"/>
  </cols>
  <sheetData>
    <row r="1" spans="2:26" ht="15" thickBot="1" x14ac:dyDescent="0.35"/>
    <row r="2" spans="2:26" x14ac:dyDescent="0.3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6"/>
    </row>
    <row r="3" spans="2:26" ht="31.2" customHeight="1" x14ac:dyDescent="0.3">
      <c r="B3" s="17"/>
      <c r="D3" s="39" t="s">
        <v>70</v>
      </c>
      <c r="H3" s="41">
        <v>4</v>
      </c>
      <c r="S3" s="29"/>
      <c r="T3" s="29"/>
      <c r="U3" s="29"/>
      <c r="V3" s="29"/>
      <c r="W3" s="29"/>
      <c r="X3" s="23"/>
      <c r="Y3" s="23"/>
      <c r="Z3" s="18"/>
    </row>
    <row r="4" spans="2:26" ht="13.2" customHeight="1" x14ac:dyDescent="0.3">
      <c r="B4" s="17"/>
      <c r="S4" s="29"/>
      <c r="T4" s="29"/>
      <c r="U4" s="29"/>
      <c r="V4" s="29"/>
      <c r="W4" s="29"/>
      <c r="X4" s="23"/>
      <c r="Y4" s="23"/>
      <c r="Z4" s="18"/>
    </row>
    <row r="5" spans="2:26" ht="30" customHeight="1" x14ac:dyDescent="0.3">
      <c r="B5" s="17"/>
      <c r="D5" s="38" t="s">
        <v>47</v>
      </c>
      <c r="E5" s="27"/>
      <c r="F5" s="27"/>
      <c r="H5" s="42" t="e">
        <f>VLOOKUP(H3,'Base de données'!A1:AG3,1,FALSE)</f>
        <v>#N/A</v>
      </c>
      <c r="L5" s="38" t="s">
        <v>45</v>
      </c>
      <c r="M5" s="27"/>
      <c r="N5" s="27"/>
      <c r="P5" s="42" t="e">
        <f>VLOOKUP(H3,'Base de données'!A1:AG3,2,FALSE)</f>
        <v>#N/A</v>
      </c>
      <c r="S5" s="29"/>
      <c r="T5" s="38" t="s">
        <v>46</v>
      </c>
      <c r="U5" s="27"/>
      <c r="V5" s="27"/>
      <c r="X5" s="42" t="e">
        <f>VLOOKUP(H3,'Base de données'!A1:AG3,3,FALSE)</f>
        <v>#N/A</v>
      </c>
      <c r="Y5" s="23"/>
      <c r="Z5" s="18"/>
    </row>
    <row r="6" spans="2:26" x14ac:dyDescent="0.3">
      <c r="B6" s="17"/>
      <c r="Z6" s="18"/>
    </row>
    <row r="7" spans="2:26" x14ac:dyDescent="0.3">
      <c r="B7" s="19"/>
      <c r="C7" s="12"/>
      <c r="D7" s="54"/>
      <c r="E7" s="54"/>
      <c r="F7" s="54"/>
      <c r="G7" s="12"/>
      <c r="H7" s="12"/>
      <c r="I7" s="12"/>
      <c r="K7" s="12"/>
      <c r="L7" s="35"/>
      <c r="M7" s="35"/>
      <c r="N7" s="35"/>
      <c r="O7" s="12"/>
      <c r="P7" s="12"/>
      <c r="Q7" s="12"/>
      <c r="S7" s="12"/>
      <c r="T7" s="35"/>
      <c r="U7" s="35"/>
      <c r="V7" s="35"/>
      <c r="W7" s="12"/>
      <c r="X7" s="12"/>
      <c r="Y7" s="12"/>
      <c r="Z7" s="18"/>
    </row>
    <row r="8" spans="2:26" x14ac:dyDescent="0.3">
      <c r="B8" s="19"/>
      <c r="C8" s="12"/>
      <c r="D8" s="54" t="s">
        <v>12</v>
      </c>
      <c r="E8" s="54"/>
      <c r="F8" s="54"/>
      <c r="G8" s="12"/>
      <c r="H8" s="12"/>
      <c r="I8" s="12"/>
      <c r="K8" s="12"/>
      <c r="L8" s="54" t="s">
        <v>49</v>
      </c>
      <c r="M8" s="54"/>
      <c r="N8" s="54"/>
      <c r="O8" s="12"/>
      <c r="P8" s="12"/>
      <c r="Q8" s="12"/>
      <c r="S8" s="12"/>
      <c r="T8" s="54" t="s">
        <v>62</v>
      </c>
      <c r="U8" s="54"/>
      <c r="V8" s="54"/>
      <c r="W8" s="12"/>
      <c r="X8" s="12"/>
      <c r="Y8" s="12"/>
      <c r="Z8" s="18"/>
    </row>
    <row r="9" spans="2:26" x14ac:dyDescent="0.3">
      <c r="B9" s="19"/>
      <c r="C9" s="12"/>
      <c r="D9" s="12"/>
      <c r="E9" s="12"/>
      <c r="F9" s="13"/>
      <c r="G9" s="12"/>
      <c r="H9" s="12"/>
      <c r="I9" s="12"/>
      <c r="K9" s="12"/>
      <c r="L9" s="12"/>
      <c r="M9" s="12"/>
      <c r="N9" s="13"/>
      <c r="O9" s="12"/>
      <c r="P9" s="12"/>
      <c r="Q9" s="12"/>
      <c r="S9" s="12"/>
      <c r="T9" s="12"/>
      <c r="U9" s="12"/>
      <c r="V9" s="13"/>
      <c r="W9" s="12"/>
      <c r="X9" s="12"/>
      <c r="Y9" s="12"/>
      <c r="Z9" s="18"/>
    </row>
    <row r="10" spans="2:26" ht="79.95" customHeight="1" x14ac:dyDescent="0.3">
      <c r="B10" s="19"/>
      <c r="C10" s="12"/>
      <c r="D10" s="7" t="s">
        <v>11</v>
      </c>
      <c r="E10" s="12"/>
      <c r="F10" s="43" t="e">
        <f>VLOOKUP(H3,'Base de données'!A1:AG3,4,FALSE)</f>
        <v>#N/A</v>
      </c>
      <c r="G10" s="12"/>
      <c r="H10" s="26" t="s">
        <v>73</v>
      </c>
      <c r="I10" s="12"/>
      <c r="K10" s="12"/>
      <c r="L10" s="7" t="s">
        <v>48</v>
      </c>
      <c r="M10" s="12"/>
      <c r="N10" s="43" t="e">
        <f>VLOOKUP(H3,'Base de données'!A1:AG3,14,FALSE)</f>
        <v>#N/A</v>
      </c>
      <c r="O10" s="12"/>
      <c r="P10" s="26" t="s">
        <v>81</v>
      </c>
      <c r="Q10" s="12"/>
      <c r="S10" s="12"/>
      <c r="T10" s="7" t="s">
        <v>58</v>
      </c>
      <c r="U10" s="12"/>
      <c r="V10" s="43" t="e">
        <f>VLOOKUP(H3,'Base de données'!A1:AG3,24,FALSE)</f>
        <v>#N/A</v>
      </c>
      <c r="W10" s="12"/>
      <c r="X10" s="26" t="s">
        <v>89</v>
      </c>
      <c r="Y10" s="12"/>
      <c r="Z10" s="18"/>
    </row>
    <row r="11" spans="2:26" x14ac:dyDescent="0.3">
      <c r="B11" s="19"/>
      <c r="C11" s="12"/>
      <c r="D11" s="12"/>
      <c r="E11" s="12"/>
      <c r="F11" s="13"/>
      <c r="G11" s="12"/>
      <c r="H11" s="12"/>
      <c r="I11" s="12"/>
      <c r="K11" s="12"/>
      <c r="L11" s="12"/>
      <c r="M11" s="12"/>
      <c r="N11" s="13"/>
      <c r="O11" s="12"/>
      <c r="P11" s="12"/>
      <c r="Q11" s="12"/>
      <c r="S11" s="12"/>
      <c r="T11" s="12"/>
      <c r="U11" s="12"/>
      <c r="V11" s="13"/>
      <c r="W11" s="12"/>
      <c r="X11" s="12"/>
      <c r="Y11" s="12"/>
      <c r="Z11" s="18"/>
    </row>
    <row r="12" spans="2:26" ht="79.95" customHeight="1" x14ac:dyDescent="0.3">
      <c r="B12" s="17"/>
      <c r="C12" s="12"/>
      <c r="D12" s="7" t="s">
        <v>15</v>
      </c>
      <c r="E12" s="12"/>
      <c r="F12" s="43" t="e">
        <f>VLOOKUP(H3,'Base de données'!A1:AG3,5,FALSE)</f>
        <v>#N/A</v>
      </c>
      <c r="G12" s="12"/>
      <c r="H12" s="26" t="s">
        <v>74</v>
      </c>
      <c r="I12" s="12"/>
      <c r="K12" s="12"/>
      <c r="L12" s="7" t="s">
        <v>50</v>
      </c>
      <c r="M12" s="12"/>
      <c r="N12" s="43" t="e">
        <f>VLOOKUP(H3,'Base de données'!A1:AG3,15,FALSE)</f>
        <v>#N/A</v>
      </c>
      <c r="O12" s="12"/>
      <c r="P12" s="26" t="s">
        <v>82</v>
      </c>
      <c r="Q12" s="12"/>
      <c r="S12" s="12"/>
      <c r="T12" s="7" t="s">
        <v>59</v>
      </c>
      <c r="U12" s="12"/>
      <c r="V12" s="43" t="e">
        <f>VLOOKUP(H3,'Base de données'!A1:AG3,25,FALSE)</f>
        <v>#N/A</v>
      </c>
      <c r="W12" s="12"/>
      <c r="X12" s="26" t="s">
        <v>90</v>
      </c>
      <c r="Y12" s="12"/>
      <c r="Z12" s="18"/>
    </row>
    <row r="13" spans="2:26" x14ac:dyDescent="0.3">
      <c r="B13" s="17"/>
      <c r="C13" s="12"/>
      <c r="D13" s="12"/>
      <c r="E13" s="12"/>
      <c r="F13" s="13"/>
      <c r="G13" s="12"/>
      <c r="H13" s="12"/>
      <c r="I13" s="12"/>
      <c r="K13" s="12"/>
      <c r="L13" s="12"/>
      <c r="M13" s="12"/>
      <c r="N13" s="13"/>
      <c r="O13" s="12"/>
      <c r="P13" s="12"/>
      <c r="Q13" s="12"/>
      <c r="S13" s="12"/>
      <c r="T13" s="12"/>
      <c r="U13" s="12"/>
      <c r="V13" s="13"/>
      <c r="W13" s="12"/>
      <c r="X13" s="12"/>
      <c r="Y13" s="12"/>
      <c r="Z13" s="18"/>
    </row>
    <row r="14" spans="2:26" ht="79.95" customHeight="1" x14ac:dyDescent="0.3">
      <c r="B14" s="17"/>
      <c r="C14" s="12"/>
      <c r="D14" s="7" t="s">
        <v>13</v>
      </c>
      <c r="E14" s="12"/>
      <c r="F14" s="43" t="e">
        <f>VLOOKUP(H3,'Base de données'!A1:AG3,6,FALSE)</f>
        <v>#N/A</v>
      </c>
      <c r="G14" s="12"/>
      <c r="H14" s="26" t="s">
        <v>75</v>
      </c>
      <c r="I14" s="12"/>
      <c r="K14" s="12"/>
      <c r="L14" s="7" t="s">
        <v>51</v>
      </c>
      <c r="M14" s="12"/>
      <c r="N14" s="43" t="e">
        <f>VLOOKUP(H3,'Base de données'!A1:AG3,16,FALSE)</f>
        <v>#N/A</v>
      </c>
      <c r="O14" s="12"/>
      <c r="P14" s="26" t="s">
        <v>83</v>
      </c>
      <c r="Q14" s="12"/>
      <c r="S14" s="12"/>
      <c r="T14" s="7" t="s">
        <v>60</v>
      </c>
      <c r="U14" s="12"/>
      <c r="V14" s="43" t="e">
        <f>VLOOKUP(H3,'Base de données'!A1:AG3,26,FALSE)</f>
        <v>#N/A</v>
      </c>
      <c r="W14" s="12"/>
      <c r="X14" s="26" t="s">
        <v>91</v>
      </c>
      <c r="Y14" s="12"/>
      <c r="Z14" s="18"/>
    </row>
    <row r="15" spans="2:26" x14ac:dyDescent="0.3">
      <c r="B15" s="17"/>
      <c r="C15" s="12"/>
      <c r="D15" s="12"/>
      <c r="E15" s="12"/>
      <c r="F15" s="12"/>
      <c r="G15" s="12"/>
      <c r="H15" s="12"/>
      <c r="I15" s="12"/>
      <c r="K15" s="12"/>
      <c r="L15" s="12"/>
      <c r="M15" s="12"/>
      <c r="N15" s="12"/>
      <c r="O15" s="12"/>
      <c r="P15" s="12"/>
      <c r="Q15" s="12"/>
      <c r="S15" s="12"/>
      <c r="T15" s="12"/>
      <c r="U15" s="12"/>
      <c r="V15" s="12"/>
      <c r="W15" s="12"/>
      <c r="X15" s="12"/>
      <c r="Y15" s="12"/>
      <c r="Z15" s="18"/>
    </row>
    <row r="16" spans="2:26" ht="79.95" customHeight="1" x14ac:dyDescent="0.3">
      <c r="B16" s="17"/>
      <c r="C16" s="12"/>
      <c r="D16" s="7" t="s">
        <v>14</v>
      </c>
      <c r="E16" s="12"/>
      <c r="F16" s="43" t="e">
        <f>VLOOKUP(H3,'Base de données'!A1:AG3,7,FALSE)</f>
        <v>#N/A</v>
      </c>
      <c r="G16" s="12"/>
      <c r="H16" s="26" t="s">
        <v>76</v>
      </c>
      <c r="I16" s="12"/>
      <c r="K16" s="12"/>
      <c r="L16" s="7" t="s">
        <v>52</v>
      </c>
      <c r="M16" s="12"/>
      <c r="N16" s="43" t="e">
        <f>VLOOKUP(H3,'Base de données'!A1:AG3,17,FALSE)</f>
        <v>#N/A</v>
      </c>
      <c r="O16" s="12"/>
      <c r="P16" s="26" t="s">
        <v>84</v>
      </c>
      <c r="Q16" s="12"/>
      <c r="S16" s="12"/>
      <c r="T16" s="7" t="s">
        <v>61</v>
      </c>
      <c r="U16" s="12"/>
      <c r="V16" s="43" t="e">
        <f>VLOOKUP(H3,'Base de données'!A1:AG3,27,FALSE)</f>
        <v>#N/A</v>
      </c>
      <c r="W16" s="12"/>
      <c r="X16" s="26" t="s">
        <v>92</v>
      </c>
      <c r="Y16" s="12"/>
      <c r="Z16" s="18"/>
    </row>
    <row r="17" spans="2:26" x14ac:dyDescent="0.3">
      <c r="B17" s="17"/>
      <c r="C17" s="12"/>
      <c r="D17" s="12"/>
      <c r="E17" s="12"/>
      <c r="F17" s="12"/>
      <c r="G17" s="12"/>
      <c r="H17" s="12"/>
      <c r="I17" s="12"/>
      <c r="K17" s="12"/>
      <c r="L17" s="12"/>
      <c r="M17" s="12"/>
      <c r="N17" s="12"/>
      <c r="O17" s="12"/>
      <c r="P17" s="12"/>
      <c r="Q17" s="12"/>
      <c r="S17" s="12"/>
      <c r="T17" s="12"/>
      <c r="U17" s="12"/>
      <c r="V17" s="12"/>
      <c r="W17" s="12"/>
      <c r="X17" s="12"/>
      <c r="Y17" s="12"/>
      <c r="Z17" s="18"/>
    </row>
    <row r="18" spans="2:26" x14ac:dyDescent="0.3">
      <c r="B18" s="17"/>
      <c r="C18" s="12"/>
      <c r="D18" s="12"/>
      <c r="E18" s="12"/>
      <c r="F18" s="12"/>
      <c r="G18" s="12"/>
      <c r="H18" s="12"/>
      <c r="I18" s="12"/>
      <c r="K18" s="12"/>
      <c r="L18" s="12"/>
      <c r="M18" s="12"/>
      <c r="N18" s="12"/>
      <c r="O18" s="12"/>
      <c r="P18" s="12"/>
      <c r="Q18" s="12"/>
      <c r="S18" s="12"/>
      <c r="T18" s="12"/>
      <c r="U18" s="12"/>
      <c r="V18" s="12"/>
      <c r="W18" s="12"/>
      <c r="X18" s="12"/>
      <c r="Y18" s="12"/>
      <c r="Z18" s="18"/>
    </row>
    <row r="19" spans="2:26" x14ac:dyDescent="0.3">
      <c r="B19" s="17"/>
      <c r="Z19" s="18"/>
    </row>
    <row r="20" spans="2:26" x14ac:dyDescent="0.3">
      <c r="B20" s="17"/>
      <c r="C20" s="12"/>
      <c r="D20" s="35"/>
      <c r="E20" s="35"/>
      <c r="F20" s="35"/>
      <c r="G20" s="12"/>
      <c r="H20" s="12"/>
      <c r="I20" s="12"/>
      <c r="K20" s="12"/>
      <c r="L20" s="35"/>
      <c r="M20" s="35"/>
      <c r="N20" s="35"/>
      <c r="O20" s="12"/>
      <c r="P20" s="12"/>
      <c r="Q20" s="12"/>
      <c r="S20" s="12"/>
      <c r="T20" s="35"/>
      <c r="U20" s="35"/>
      <c r="V20" s="35"/>
      <c r="W20" s="12"/>
      <c r="X20" s="12"/>
      <c r="Y20" s="12"/>
      <c r="Z20" s="18"/>
    </row>
    <row r="21" spans="2:26" x14ac:dyDescent="0.3">
      <c r="B21" s="17"/>
      <c r="C21" s="12"/>
      <c r="D21" s="54" t="s">
        <v>22</v>
      </c>
      <c r="E21" s="54"/>
      <c r="F21" s="54"/>
      <c r="G21" s="12"/>
      <c r="H21" s="12"/>
      <c r="I21" s="12"/>
      <c r="K21" s="12"/>
      <c r="L21" s="54" t="s">
        <v>53</v>
      </c>
      <c r="M21" s="54"/>
      <c r="N21" s="54"/>
      <c r="O21" s="12"/>
      <c r="P21" s="12"/>
      <c r="Q21" s="12"/>
      <c r="S21" s="12"/>
      <c r="T21" s="54" t="s">
        <v>67</v>
      </c>
      <c r="U21" s="54"/>
      <c r="V21" s="54"/>
      <c r="W21" s="12"/>
      <c r="X21" s="12"/>
      <c r="Y21" s="12"/>
      <c r="Z21" s="18"/>
    </row>
    <row r="22" spans="2:26" x14ac:dyDescent="0.3">
      <c r="B22" s="17"/>
      <c r="C22" s="12"/>
      <c r="D22" s="12"/>
      <c r="E22" s="12"/>
      <c r="F22" s="13"/>
      <c r="G22" s="12"/>
      <c r="H22" s="12"/>
      <c r="I22" s="12"/>
      <c r="K22" s="12"/>
      <c r="L22" s="12"/>
      <c r="M22" s="12"/>
      <c r="N22" s="13"/>
      <c r="O22" s="12"/>
      <c r="P22" s="12"/>
      <c r="Q22" s="12"/>
      <c r="S22" s="12"/>
      <c r="T22" s="12"/>
      <c r="U22" s="12"/>
      <c r="V22" s="13"/>
      <c r="W22" s="12"/>
      <c r="X22" s="12"/>
      <c r="Y22" s="12"/>
      <c r="Z22" s="18"/>
    </row>
    <row r="23" spans="2:26" ht="79.95" customHeight="1" x14ac:dyDescent="0.3">
      <c r="B23" s="17"/>
      <c r="C23" s="12"/>
      <c r="D23" s="7" t="s">
        <v>21</v>
      </c>
      <c r="E23" s="12"/>
      <c r="F23" s="43" t="e">
        <f>VLOOKUP(H3,'Base de données'!A1:AG3,9,FALSE)</f>
        <v>#N/A</v>
      </c>
      <c r="G23" s="12"/>
      <c r="H23" s="26" t="s">
        <v>77</v>
      </c>
      <c r="I23" s="12"/>
      <c r="K23" s="12"/>
      <c r="L23" s="7" t="s">
        <v>54</v>
      </c>
      <c r="M23" s="12"/>
      <c r="N23" s="43" t="e">
        <f>VLOOKUP(H3,'Base de données'!A1:AG3,19,FALSE)</f>
        <v>#N/A</v>
      </c>
      <c r="O23" s="12"/>
      <c r="P23" s="26" t="s">
        <v>85</v>
      </c>
      <c r="Q23" s="12"/>
      <c r="S23" s="12"/>
      <c r="T23" s="7" t="s">
        <v>63</v>
      </c>
      <c r="U23" s="12"/>
      <c r="V23" s="43" t="e">
        <f>VLOOKUP(H3,'Base de données'!A1:AG3,29,FALSE)</f>
        <v>#N/A</v>
      </c>
      <c r="W23" s="12"/>
      <c r="X23" s="26" t="s">
        <v>93</v>
      </c>
      <c r="Y23" s="12"/>
      <c r="Z23" s="18"/>
    </row>
    <row r="24" spans="2:26" x14ac:dyDescent="0.3">
      <c r="B24" s="17"/>
      <c r="C24" s="12"/>
      <c r="D24" s="12"/>
      <c r="E24" s="12"/>
      <c r="F24" s="13"/>
      <c r="G24" s="12"/>
      <c r="H24" s="12"/>
      <c r="I24" s="12"/>
      <c r="K24" s="12"/>
      <c r="L24" s="12"/>
      <c r="M24" s="12"/>
      <c r="N24" s="13"/>
      <c r="O24" s="12"/>
      <c r="P24" s="12"/>
      <c r="Q24" s="12"/>
      <c r="S24" s="12"/>
      <c r="T24" s="12"/>
      <c r="U24" s="12"/>
      <c r="V24" s="13"/>
      <c r="W24" s="12"/>
      <c r="X24" s="12"/>
      <c r="Y24" s="12"/>
      <c r="Z24" s="18"/>
    </row>
    <row r="25" spans="2:26" ht="79.95" customHeight="1" x14ac:dyDescent="0.3">
      <c r="B25" s="17"/>
      <c r="C25" s="12"/>
      <c r="D25" s="7" t="s">
        <v>23</v>
      </c>
      <c r="E25" s="12"/>
      <c r="F25" s="43" t="e">
        <f>VLOOKUP(H3,'Base de données'!A1:AG3,10,FALSE)</f>
        <v>#N/A</v>
      </c>
      <c r="G25" s="12"/>
      <c r="H25" s="26" t="s">
        <v>78</v>
      </c>
      <c r="I25" s="12"/>
      <c r="K25" s="12"/>
      <c r="L25" s="7" t="s">
        <v>55</v>
      </c>
      <c r="M25" s="12"/>
      <c r="N25" s="43" t="e">
        <f>VLOOKUP(H3,'Base de données'!A1:AG3,20,FALSE)</f>
        <v>#N/A</v>
      </c>
      <c r="O25" s="12"/>
      <c r="P25" s="26" t="s">
        <v>86</v>
      </c>
      <c r="Q25" s="12"/>
      <c r="S25" s="12"/>
      <c r="T25" s="7" t="s">
        <v>64</v>
      </c>
      <c r="U25" s="12"/>
      <c r="V25" s="43" t="e">
        <f>VLOOKUP(H3,'Base de données'!A1:AG3,30,FALSE)</f>
        <v>#N/A</v>
      </c>
      <c r="W25" s="12"/>
      <c r="X25" s="26" t="s">
        <v>94</v>
      </c>
      <c r="Y25" s="12"/>
      <c r="Z25" s="18"/>
    </row>
    <row r="26" spans="2:26" x14ac:dyDescent="0.3">
      <c r="B26" s="17"/>
      <c r="C26" s="12"/>
      <c r="D26" s="12"/>
      <c r="E26" s="12"/>
      <c r="F26" s="13"/>
      <c r="G26" s="12"/>
      <c r="H26" s="12"/>
      <c r="I26" s="12"/>
      <c r="K26" s="12"/>
      <c r="L26" s="12"/>
      <c r="M26" s="12"/>
      <c r="N26" s="13"/>
      <c r="O26" s="12"/>
      <c r="P26" s="12"/>
      <c r="Q26" s="12"/>
      <c r="S26" s="12"/>
      <c r="T26" s="12"/>
      <c r="U26" s="12"/>
      <c r="V26" s="13"/>
      <c r="W26" s="12"/>
      <c r="X26" s="12"/>
      <c r="Y26" s="12"/>
      <c r="Z26" s="18"/>
    </row>
    <row r="27" spans="2:26" ht="79.95" customHeight="1" x14ac:dyDescent="0.3">
      <c r="B27" s="17"/>
      <c r="C27" s="12"/>
      <c r="D27" s="7" t="s">
        <v>24</v>
      </c>
      <c r="E27" s="12"/>
      <c r="F27" s="43" t="e">
        <f>VLOOKUP(H3,'Base de données'!A1:AG3,11,FALSE)</f>
        <v>#N/A</v>
      </c>
      <c r="G27" s="12"/>
      <c r="H27" s="26" t="s">
        <v>79</v>
      </c>
      <c r="I27" s="12"/>
      <c r="K27" s="12"/>
      <c r="L27" s="7" t="s">
        <v>56</v>
      </c>
      <c r="M27" s="12"/>
      <c r="N27" s="43" t="e">
        <f>VLOOKUP(H3,'Base de données'!A1:AG3,21,FALSE)</f>
        <v>#N/A</v>
      </c>
      <c r="O27" s="12"/>
      <c r="P27" s="26" t="s">
        <v>87</v>
      </c>
      <c r="Q27" s="12"/>
      <c r="S27" s="12"/>
      <c r="T27" s="7" t="s">
        <v>65</v>
      </c>
      <c r="U27" s="12"/>
      <c r="V27" s="43" t="e">
        <f>VLOOKUP(H3,'Base de données'!A1:AG3,31,FALSE)</f>
        <v>#N/A</v>
      </c>
      <c r="W27" s="12"/>
      <c r="X27" s="26" t="s">
        <v>95</v>
      </c>
      <c r="Y27" s="12"/>
      <c r="Z27" s="18"/>
    </row>
    <row r="28" spans="2:26" x14ac:dyDescent="0.3">
      <c r="B28" s="17"/>
      <c r="C28" s="12"/>
      <c r="D28" s="12"/>
      <c r="E28" s="12"/>
      <c r="F28" s="12"/>
      <c r="G28" s="12"/>
      <c r="H28" s="12"/>
      <c r="I28" s="12"/>
      <c r="K28" s="12"/>
      <c r="L28" s="12"/>
      <c r="M28" s="12"/>
      <c r="N28" s="12"/>
      <c r="O28" s="12"/>
      <c r="P28" s="12"/>
      <c r="Q28" s="12"/>
      <c r="S28" s="12"/>
      <c r="T28" s="12"/>
      <c r="U28" s="12"/>
      <c r="V28" s="12"/>
      <c r="W28" s="12"/>
      <c r="X28" s="12"/>
      <c r="Y28" s="12"/>
      <c r="Z28" s="18"/>
    </row>
    <row r="29" spans="2:26" ht="79.95" customHeight="1" x14ac:dyDescent="0.3">
      <c r="B29" s="17"/>
      <c r="C29" s="12"/>
      <c r="D29" s="7" t="s">
        <v>25</v>
      </c>
      <c r="E29" s="12"/>
      <c r="F29" s="43" t="e">
        <f>VLOOKUP(H3,'Base de données'!A1:AG3,12,FALSE)</f>
        <v>#N/A</v>
      </c>
      <c r="G29" s="12"/>
      <c r="H29" s="26" t="s">
        <v>80</v>
      </c>
      <c r="I29" s="12"/>
      <c r="K29" s="12"/>
      <c r="L29" s="7" t="s">
        <v>57</v>
      </c>
      <c r="M29" s="12"/>
      <c r="N29" s="43" t="e">
        <f>VLOOKUP(H3,'Base de données'!A1:AG3,22,FALSE)</f>
        <v>#N/A</v>
      </c>
      <c r="O29" s="12"/>
      <c r="P29" s="26" t="s">
        <v>88</v>
      </c>
      <c r="Q29" s="12"/>
      <c r="S29" s="12"/>
      <c r="T29" s="37" t="s">
        <v>66</v>
      </c>
      <c r="U29" s="12"/>
      <c r="V29" s="43" t="e">
        <f>VLOOKUP(H3,'Base de données'!A1:AG3,32,FALSE)</f>
        <v>#N/A</v>
      </c>
      <c r="W29" s="12"/>
      <c r="X29" s="26" t="s">
        <v>96</v>
      </c>
      <c r="Y29" s="12"/>
      <c r="Z29" s="18"/>
    </row>
    <row r="30" spans="2:26" x14ac:dyDescent="0.3">
      <c r="B30" s="17"/>
      <c r="C30" s="12"/>
      <c r="D30" s="12"/>
      <c r="E30" s="12"/>
      <c r="F30" s="12"/>
      <c r="G30" s="12"/>
      <c r="H30" s="12"/>
      <c r="I30" s="12"/>
      <c r="K30" s="12"/>
      <c r="L30" s="12"/>
      <c r="M30" s="12"/>
      <c r="N30" s="12"/>
      <c r="O30" s="12"/>
      <c r="P30" s="12"/>
      <c r="Q30" s="12"/>
      <c r="S30" s="12"/>
      <c r="T30" s="36"/>
      <c r="U30" s="12"/>
      <c r="V30" s="12"/>
      <c r="W30" s="12"/>
      <c r="X30" s="12"/>
      <c r="Y30" s="12"/>
      <c r="Z30" s="18"/>
    </row>
    <row r="31" spans="2:26" x14ac:dyDescent="0.3">
      <c r="B31" s="17"/>
      <c r="C31" s="12"/>
      <c r="D31" s="12"/>
      <c r="E31" s="12"/>
      <c r="F31" s="12"/>
      <c r="G31" s="12"/>
      <c r="H31" s="12"/>
      <c r="I31" s="12"/>
      <c r="K31" s="12"/>
      <c r="L31" s="12"/>
      <c r="M31" s="12"/>
      <c r="N31" s="12"/>
      <c r="O31" s="12"/>
      <c r="P31" s="12"/>
      <c r="Q31" s="12"/>
      <c r="S31" s="12"/>
      <c r="T31" s="36"/>
      <c r="U31" s="12"/>
      <c r="V31" s="12"/>
      <c r="W31" s="12"/>
      <c r="X31" s="12"/>
      <c r="Y31" s="12"/>
      <c r="Z31" s="18"/>
    </row>
    <row r="32" spans="2:26" x14ac:dyDescent="0.3">
      <c r="B32" s="17"/>
      <c r="T32" s="30"/>
      <c r="Z32" s="18"/>
    </row>
    <row r="33" spans="2:26" x14ac:dyDescent="0.3">
      <c r="B33" s="17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T33" s="30"/>
      <c r="Z33" s="18"/>
    </row>
    <row r="34" spans="2:26" ht="45" customHeight="1" x14ac:dyDescent="0.3">
      <c r="B34" s="17"/>
      <c r="C34" s="31"/>
      <c r="D34" s="53" t="s">
        <v>72</v>
      </c>
      <c r="E34" s="53"/>
      <c r="F34" s="53"/>
      <c r="G34" s="53"/>
      <c r="H34" s="53"/>
      <c r="I34" s="53"/>
      <c r="J34" s="53"/>
      <c r="K34" s="53"/>
      <c r="L34" s="53"/>
      <c r="M34" s="31"/>
      <c r="T34" s="30"/>
      <c r="Z34" s="18"/>
    </row>
    <row r="35" spans="2:26" ht="15" customHeight="1" x14ac:dyDescent="0.3">
      <c r="B35" s="17"/>
      <c r="C35" s="31"/>
      <c r="D35" s="32"/>
      <c r="E35" s="31"/>
      <c r="F35" s="31"/>
      <c r="G35" s="31"/>
      <c r="H35" s="31"/>
      <c r="I35" s="31"/>
      <c r="J35" s="31"/>
      <c r="K35" s="31"/>
      <c r="L35" s="31"/>
      <c r="M35" s="31"/>
      <c r="T35" s="30"/>
      <c r="Z35" s="18"/>
    </row>
    <row r="36" spans="2:26" ht="45" customHeight="1" x14ac:dyDescent="0.3">
      <c r="B36" s="17"/>
      <c r="C36" s="31"/>
      <c r="D36" s="34" t="s">
        <v>71</v>
      </c>
      <c r="E36" s="31"/>
      <c r="F36" s="34" t="e">
        <f>VLOOKUP(H3,'Base de données'!A1:AG3,8,FALSE)</f>
        <v>#N/A</v>
      </c>
      <c r="G36" s="31"/>
      <c r="H36" s="31"/>
      <c r="I36" s="31"/>
      <c r="J36" s="31"/>
      <c r="K36" s="31"/>
      <c r="L36" s="31"/>
      <c r="M36" s="31"/>
      <c r="T36" s="30"/>
      <c r="Z36" s="18"/>
    </row>
    <row r="37" spans="2:26" ht="15" customHeight="1" x14ac:dyDescent="0.3">
      <c r="B37" s="17"/>
      <c r="C37" s="31"/>
      <c r="D37" s="33"/>
      <c r="E37" s="31"/>
      <c r="F37" s="33"/>
      <c r="G37" s="31"/>
      <c r="H37" s="31"/>
      <c r="I37" s="31"/>
      <c r="J37" s="31"/>
      <c r="K37" s="31"/>
      <c r="L37" s="31"/>
      <c r="M37" s="31"/>
      <c r="T37" s="30"/>
      <c r="Z37" s="18"/>
    </row>
    <row r="38" spans="2:26" ht="43.2" customHeight="1" x14ac:dyDescent="0.3">
      <c r="B38" s="17"/>
      <c r="C38" s="31"/>
      <c r="D38" s="34" t="s">
        <v>22</v>
      </c>
      <c r="E38" s="31"/>
      <c r="F38" s="34" t="e">
        <f>VLOOKUP(H3,'Base de données'!A1:AG3,13,FALSE)</f>
        <v>#N/A</v>
      </c>
      <c r="G38" s="31"/>
      <c r="H38" s="31"/>
      <c r="I38" s="31"/>
      <c r="J38" s="31"/>
      <c r="K38" s="31"/>
      <c r="L38" s="31"/>
      <c r="M38" s="31"/>
      <c r="T38" s="30"/>
      <c r="Z38" s="18"/>
    </row>
    <row r="39" spans="2:26" ht="15" customHeight="1" x14ac:dyDescent="0.3">
      <c r="B39" s="17"/>
      <c r="C39" s="31"/>
      <c r="D39" s="33"/>
      <c r="E39" s="31"/>
      <c r="F39" s="33"/>
      <c r="G39" s="31"/>
      <c r="H39" s="31"/>
      <c r="I39" s="31"/>
      <c r="J39" s="31"/>
      <c r="K39" s="31"/>
      <c r="L39" s="31"/>
      <c r="M39" s="31"/>
      <c r="T39" s="30"/>
      <c r="Z39" s="18"/>
    </row>
    <row r="40" spans="2:26" ht="46.2" customHeight="1" x14ac:dyDescent="0.3">
      <c r="B40" s="17"/>
      <c r="C40" s="31"/>
      <c r="D40" s="34" t="s">
        <v>49</v>
      </c>
      <c r="E40" s="31"/>
      <c r="F40" s="34" t="e">
        <f>VLOOKUP(H3,'Base de données'!A1:AG3,18,FALSE)</f>
        <v>#N/A</v>
      </c>
      <c r="G40" s="31"/>
      <c r="H40" s="31"/>
      <c r="I40" s="31"/>
      <c r="J40" s="31"/>
      <c r="K40" s="31"/>
      <c r="L40" s="31"/>
      <c r="M40" s="31"/>
      <c r="T40" s="30"/>
      <c r="Z40" s="18"/>
    </row>
    <row r="41" spans="2:26" ht="15" customHeight="1" x14ac:dyDescent="0.3">
      <c r="B41" s="17"/>
      <c r="C41" s="31"/>
      <c r="D41" s="33"/>
      <c r="E41" s="31"/>
      <c r="F41" s="33"/>
      <c r="G41" s="31"/>
      <c r="H41" s="31"/>
      <c r="I41" s="31"/>
      <c r="J41" s="31"/>
      <c r="K41" s="31"/>
      <c r="L41" s="31"/>
      <c r="M41" s="31"/>
      <c r="T41" s="30"/>
      <c r="Z41" s="18"/>
    </row>
    <row r="42" spans="2:26" ht="43.2" customHeight="1" x14ac:dyDescent="0.3">
      <c r="B42" s="17"/>
      <c r="C42" s="31"/>
      <c r="D42" s="34" t="s">
        <v>53</v>
      </c>
      <c r="E42" s="31"/>
      <c r="F42" s="34" t="e">
        <f>VLOOKUP(H3,'Base de données'!A1:AG3,23,FALSE)</f>
        <v>#N/A</v>
      </c>
      <c r="G42" s="31"/>
      <c r="H42" s="31"/>
      <c r="I42" s="31"/>
      <c r="J42" s="31"/>
      <c r="K42" s="31"/>
      <c r="L42" s="31"/>
      <c r="M42" s="31"/>
      <c r="T42" s="30"/>
      <c r="Z42" s="18"/>
    </row>
    <row r="43" spans="2:26" ht="15" customHeight="1" x14ac:dyDescent="0.3">
      <c r="B43" s="17"/>
      <c r="C43" s="31"/>
      <c r="D43" s="33"/>
      <c r="E43" s="31"/>
      <c r="F43" s="33"/>
      <c r="G43" s="31"/>
      <c r="H43" s="31"/>
      <c r="I43" s="31"/>
      <c r="J43" s="31"/>
      <c r="K43" s="31"/>
      <c r="L43" s="31"/>
      <c r="M43" s="31"/>
      <c r="T43" s="30"/>
      <c r="Z43" s="18"/>
    </row>
    <row r="44" spans="2:26" ht="42" customHeight="1" x14ac:dyDescent="0.3">
      <c r="B44" s="17"/>
      <c r="C44" s="31"/>
      <c r="D44" s="34" t="s">
        <v>62</v>
      </c>
      <c r="E44" s="31"/>
      <c r="F44" s="34" t="e">
        <f>VLOOKUP(H3,'Base de données'!A1:AG3,28,FALSE)</f>
        <v>#N/A</v>
      </c>
      <c r="G44" s="31"/>
      <c r="H44" s="31"/>
      <c r="I44" s="31"/>
      <c r="J44" s="31"/>
      <c r="K44" s="31"/>
      <c r="L44" s="31"/>
      <c r="M44" s="31"/>
      <c r="T44" s="30"/>
      <c r="Z44" s="18"/>
    </row>
    <row r="45" spans="2:26" ht="15" customHeight="1" x14ac:dyDescent="0.3">
      <c r="B45" s="17"/>
      <c r="C45" s="31"/>
      <c r="D45" s="33"/>
      <c r="E45" s="31"/>
      <c r="F45" s="33"/>
      <c r="G45" s="31"/>
      <c r="H45" s="31"/>
      <c r="I45" s="31"/>
      <c r="J45" s="31"/>
      <c r="K45" s="31"/>
      <c r="L45" s="31"/>
      <c r="M45" s="31"/>
      <c r="T45" s="30"/>
      <c r="Z45" s="18"/>
    </row>
    <row r="46" spans="2:26" ht="44.4" customHeight="1" x14ac:dyDescent="0.3">
      <c r="B46" s="17"/>
      <c r="C46" s="31"/>
      <c r="D46" s="34" t="s">
        <v>67</v>
      </c>
      <c r="E46" s="31"/>
      <c r="F46" s="34" t="e">
        <f>VLOOKUP(H3,'Base de données'!A1:AG3,33,FALSE)</f>
        <v>#N/A</v>
      </c>
      <c r="G46" s="31"/>
      <c r="H46" s="31"/>
      <c r="I46" s="31"/>
      <c r="J46" s="31"/>
      <c r="K46" s="31"/>
      <c r="L46" s="31"/>
      <c r="M46" s="31"/>
      <c r="T46" s="30"/>
      <c r="Z46" s="18"/>
    </row>
    <row r="47" spans="2:26" ht="20.399999999999999" customHeight="1" x14ac:dyDescent="0.3">
      <c r="B47" s="17"/>
      <c r="C47" s="31"/>
      <c r="D47" s="33"/>
      <c r="E47" s="31"/>
      <c r="F47" s="33"/>
      <c r="G47" s="31"/>
      <c r="H47" s="31"/>
      <c r="I47" s="31"/>
      <c r="J47" s="31"/>
      <c r="K47" s="31"/>
      <c r="L47" s="31"/>
      <c r="M47" s="31"/>
      <c r="T47" s="30"/>
      <c r="Z47" s="18"/>
    </row>
    <row r="48" spans="2:26" ht="45" customHeight="1" thickBot="1" x14ac:dyDescent="0.35">
      <c r="B48" s="20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2"/>
    </row>
  </sheetData>
  <sheetProtection sheet="1" objects="1" scenarios="1" selectLockedCells="1"/>
  <mergeCells count="8">
    <mergeCell ref="D34:L34"/>
    <mergeCell ref="D7:F7"/>
    <mergeCell ref="D8:F8"/>
    <mergeCell ref="L8:N8"/>
    <mergeCell ref="T8:V8"/>
    <mergeCell ref="D21:F21"/>
    <mergeCell ref="L21:N21"/>
    <mergeCell ref="T21:V21"/>
  </mergeCells>
  <conditionalFormatting sqref="H10">
    <cfRule type="expression" dxfId="23" priority="27">
      <formula>$F$10="Oui"</formula>
    </cfRule>
  </conditionalFormatting>
  <conditionalFormatting sqref="H12">
    <cfRule type="expression" dxfId="22" priority="26">
      <formula>$F$12="Oui"</formula>
    </cfRule>
  </conditionalFormatting>
  <conditionalFormatting sqref="H14">
    <cfRule type="expression" dxfId="21" priority="25">
      <formula>$F$14="Oui"</formula>
    </cfRule>
  </conditionalFormatting>
  <conditionalFormatting sqref="H16">
    <cfRule type="expression" dxfId="20" priority="24">
      <formula>$F$16="Oui"</formula>
    </cfRule>
  </conditionalFormatting>
  <conditionalFormatting sqref="H23">
    <cfRule type="expression" dxfId="19" priority="21">
      <formula>$F$23="Oui"</formula>
    </cfRule>
  </conditionalFormatting>
  <conditionalFormatting sqref="H25">
    <cfRule type="expression" dxfId="18" priority="20">
      <formula>$F$25="Oui"</formula>
    </cfRule>
  </conditionalFormatting>
  <conditionalFormatting sqref="H27">
    <cfRule type="expression" dxfId="17" priority="19">
      <formula>$F$27="Oui"</formula>
    </cfRule>
  </conditionalFormatting>
  <conditionalFormatting sqref="H29">
    <cfRule type="expression" dxfId="16" priority="18">
      <formula>$F$29="Oui"</formula>
    </cfRule>
  </conditionalFormatting>
  <conditionalFormatting sqref="P29">
    <cfRule type="expression" dxfId="15" priority="16">
      <formula>$N$29="Non"</formula>
    </cfRule>
  </conditionalFormatting>
  <conditionalFormatting sqref="P10">
    <cfRule type="expression" dxfId="14" priority="15">
      <formula>$N$10="Oui"</formula>
    </cfRule>
  </conditionalFormatting>
  <conditionalFormatting sqref="P12">
    <cfRule type="expression" dxfId="13" priority="14">
      <formula>$N$12="Oui"</formula>
    </cfRule>
  </conditionalFormatting>
  <conditionalFormatting sqref="P14">
    <cfRule type="expression" dxfId="12" priority="13">
      <formula>$N$14="Oui"</formula>
    </cfRule>
  </conditionalFormatting>
  <conditionalFormatting sqref="P23">
    <cfRule type="expression" dxfId="11" priority="12">
      <formula>$N$23="Oui"</formula>
    </cfRule>
  </conditionalFormatting>
  <conditionalFormatting sqref="P25">
    <cfRule type="expression" dxfId="10" priority="11">
      <formula>$N$25="Oui"</formula>
    </cfRule>
  </conditionalFormatting>
  <conditionalFormatting sqref="P27">
    <cfRule type="expression" dxfId="9" priority="10">
      <formula>$N$27="Oui"</formula>
    </cfRule>
  </conditionalFormatting>
  <conditionalFormatting sqref="X10">
    <cfRule type="expression" dxfId="8" priority="9">
      <formula>$V$10="Oui"</formula>
    </cfRule>
  </conditionalFormatting>
  <conditionalFormatting sqref="X12">
    <cfRule type="expression" dxfId="7" priority="8">
      <formula>$V$12="Oui"</formula>
    </cfRule>
  </conditionalFormatting>
  <conditionalFormatting sqref="X14">
    <cfRule type="expression" dxfId="6" priority="7">
      <formula>$V$14="Oui"</formula>
    </cfRule>
  </conditionalFormatting>
  <conditionalFormatting sqref="X16">
    <cfRule type="expression" dxfId="5" priority="6">
      <formula>$V$16="Oui"</formula>
    </cfRule>
  </conditionalFormatting>
  <conditionalFormatting sqref="X23">
    <cfRule type="expression" dxfId="4" priority="5">
      <formula>$V$23="Oui"</formula>
    </cfRule>
  </conditionalFormatting>
  <conditionalFormatting sqref="X25">
    <cfRule type="expression" dxfId="3" priority="4">
      <formula>$V$25="Oui"</formula>
    </cfRule>
  </conditionalFormatting>
  <conditionalFormatting sqref="X27">
    <cfRule type="expression" dxfId="2" priority="3">
      <formula>$V$27="Oui"</formula>
    </cfRule>
  </conditionalFormatting>
  <conditionalFormatting sqref="X29">
    <cfRule type="expression" dxfId="1" priority="2">
      <formula>$V$29="Oui"</formula>
    </cfRule>
  </conditionalFormatting>
  <conditionalFormatting sqref="P16">
    <cfRule type="expression" dxfId="0" priority="1">
      <formula>$N$16="Non"</formula>
    </cfRule>
  </conditionalFormatting>
  <dataValidations count="1">
    <dataValidation showDropDown="1" showInputMessage="1" showErrorMessage="1" sqref="F10 F12 F14 F16 F23 F25 F27 F29 N23 N25 N27 N29 N10 N12 N14 N16 V10 V12 V14 V16 V23 V25 V27 V29" xr:uid="{B879FA1F-5566-4397-9610-61EFDA00047F}"/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2B69-12EF-42E9-8CA4-48F27249E012}">
  <sheetPr codeName="Feuil2"/>
  <dimension ref="A2:AG4"/>
  <sheetViews>
    <sheetView tabSelected="1" workbookViewId="0">
      <selection activeCell="C9" sqref="C9"/>
    </sheetView>
  </sheetViews>
  <sheetFormatPr baseColWidth="10" defaultRowHeight="14.4" x14ac:dyDescent="0.3"/>
  <cols>
    <col min="1" max="1" width="12.109375" bestFit="1" customWidth="1"/>
    <col min="2" max="2" width="14.44140625" bestFit="1" customWidth="1"/>
    <col min="3" max="3" width="14.21875" bestFit="1" customWidth="1"/>
    <col min="4" max="7" width="5.44140625" bestFit="1" customWidth="1"/>
    <col min="8" max="8" width="3.109375" bestFit="1" customWidth="1"/>
    <col min="9" max="12" width="5.44140625" bestFit="1" customWidth="1"/>
    <col min="13" max="13" width="3.109375" bestFit="1" customWidth="1"/>
    <col min="14" max="17" width="5.44140625" bestFit="1" customWidth="1"/>
    <col min="18" max="18" width="3.109375" bestFit="1" customWidth="1"/>
    <col min="19" max="22" width="5.44140625" bestFit="1" customWidth="1"/>
    <col min="23" max="23" width="3.109375" bestFit="1" customWidth="1"/>
    <col min="24" max="27" width="5.44140625" bestFit="1" customWidth="1"/>
    <col min="28" max="28" width="3.109375" bestFit="1" customWidth="1"/>
    <col min="29" max="32" width="5.44140625" bestFit="1" customWidth="1"/>
    <col min="33" max="33" width="3.109375" bestFit="1" customWidth="1"/>
  </cols>
  <sheetData>
    <row r="2" spans="1:33" x14ac:dyDescent="0.3">
      <c r="A2" s="45" t="s">
        <v>6</v>
      </c>
      <c r="B2" s="45" t="s">
        <v>8</v>
      </c>
      <c r="C2" s="45" t="s">
        <v>7</v>
      </c>
      <c r="D2" s="45" t="s">
        <v>16</v>
      </c>
      <c r="E2" s="45" t="s">
        <v>19</v>
      </c>
      <c r="F2" s="45" t="s">
        <v>18</v>
      </c>
      <c r="G2" s="45" t="s">
        <v>20</v>
      </c>
      <c r="H2" s="45" t="s">
        <v>0</v>
      </c>
      <c r="I2" s="45" t="s">
        <v>26</v>
      </c>
      <c r="J2" s="45" t="s">
        <v>17</v>
      </c>
      <c r="K2" s="45" t="s">
        <v>27</v>
      </c>
      <c r="L2" s="45" t="s">
        <v>28</v>
      </c>
      <c r="M2" s="45" t="s">
        <v>1</v>
      </c>
      <c r="N2" s="45" t="s">
        <v>29</v>
      </c>
      <c r="O2" s="45" t="s">
        <v>30</v>
      </c>
      <c r="P2" s="45" t="s">
        <v>31</v>
      </c>
      <c r="Q2" s="45" t="s">
        <v>32</v>
      </c>
      <c r="R2" s="45" t="s">
        <v>2</v>
      </c>
      <c r="S2" s="45" t="s">
        <v>33</v>
      </c>
      <c r="T2" s="45" t="s">
        <v>34</v>
      </c>
      <c r="U2" s="45" t="s">
        <v>35</v>
      </c>
      <c r="V2" s="45" t="s">
        <v>36</v>
      </c>
      <c r="W2" s="45" t="s">
        <v>3</v>
      </c>
      <c r="X2" s="45" t="s">
        <v>37</v>
      </c>
      <c r="Y2" s="45" t="s">
        <v>38</v>
      </c>
      <c r="Z2" s="45" t="s">
        <v>39</v>
      </c>
      <c r="AA2" s="45" t="s">
        <v>40</v>
      </c>
      <c r="AB2" s="45" t="s">
        <v>4</v>
      </c>
      <c r="AC2" s="45" t="s">
        <v>41</v>
      </c>
      <c r="AD2" s="45" t="s">
        <v>42</v>
      </c>
      <c r="AE2" s="45" t="s">
        <v>43</v>
      </c>
      <c r="AF2" s="45" t="s">
        <v>44</v>
      </c>
      <c r="AG2" s="45" t="s">
        <v>5</v>
      </c>
    </row>
    <row r="3" spans="1:33" x14ac:dyDescent="0.3">
      <c r="A3" s="44">
        <v>1</v>
      </c>
      <c r="B3" s="46" t="s">
        <v>68</v>
      </c>
      <c r="C3" s="46" t="s">
        <v>69</v>
      </c>
      <c r="D3" s="46" t="s">
        <v>9</v>
      </c>
      <c r="E3" s="46" t="s">
        <v>9</v>
      </c>
      <c r="F3" s="46" t="s">
        <v>9</v>
      </c>
      <c r="G3" s="46" t="s">
        <v>9</v>
      </c>
      <c r="H3" s="46">
        <f t="shared" ref="H3" si="0">IF(D3="Oui",0,1)+IF(E3="Oui",0,1)++IF(F3="Oui",0,1)+IF(G3="Oui",0,1)</f>
        <v>0</v>
      </c>
      <c r="I3" s="46" t="s">
        <v>9</v>
      </c>
      <c r="J3" s="46" t="s">
        <v>9</v>
      </c>
      <c r="K3" s="46" t="s">
        <v>9</v>
      </c>
      <c r="L3" s="46" t="s">
        <v>9</v>
      </c>
      <c r="M3" s="46">
        <f t="shared" ref="M3" si="1">IF(I3="Oui",0,1)+IF(J3="Oui",0,1)++IF(K3="Oui",0,1)+IF(L3="Oui",0,1)</f>
        <v>0</v>
      </c>
      <c r="N3" s="46" t="s">
        <v>9</v>
      </c>
      <c r="O3" s="46" t="s">
        <v>9</v>
      </c>
      <c r="P3" s="46" t="s">
        <v>9</v>
      </c>
      <c r="Q3" s="46" t="s">
        <v>9</v>
      </c>
      <c r="R3" s="46">
        <f>IF(N3="Oui",0,1)+IF(O3="Oui",0,1)++IF(P3="Oui",0,1)+IF(Q3="Oui",1,0)</f>
        <v>1</v>
      </c>
      <c r="S3" s="46" t="s">
        <v>9</v>
      </c>
      <c r="T3" s="46" t="s">
        <v>9</v>
      </c>
      <c r="U3" s="46" t="s">
        <v>9</v>
      </c>
      <c r="V3" s="46" t="s">
        <v>9</v>
      </c>
      <c r="W3" s="46">
        <f t="shared" ref="W3" si="2">IF(S3="Oui",0,1)+IF(T3="Oui",0,1)++IF(U3="Oui",0,1)+IF(V3="Oui",1,0)</f>
        <v>1</v>
      </c>
      <c r="X3" s="46" t="s">
        <v>9</v>
      </c>
      <c r="Y3" s="46" t="s">
        <v>9</v>
      </c>
      <c r="Z3" s="46" t="s">
        <v>9</v>
      </c>
      <c r="AA3" s="46" t="s">
        <v>9</v>
      </c>
      <c r="AB3" s="46">
        <f t="shared" ref="AB3" si="3">IF(X3="Oui",0,1)+IF(Y3="Oui",0,1)++IF(Z3="Oui",0,1)+IF(AA3="Oui",0,1)</f>
        <v>0</v>
      </c>
      <c r="AC3" s="46" t="s">
        <v>9</v>
      </c>
      <c r="AD3" s="46" t="s">
        <v>9</v>
      </c>
      <c r="AE3" s="46" t="s">
        <v>9</v>
      </c>
      <c r="AF3" s="46" t="s">
        <v>9</v>
      </c>
      <c r="AG3" s="46">
        <f t="shared" ref="AG3" si="4">IF(AC3="Oui",0,1)+IF(AD3="Oui",0,1)++IF(AE3="Oui",0,1)+IF(AF3="Oui",0,1)</f>
        <v>0</v>
      </c>
    </row>
    <row r="4" spans="1:33" x14ac:dyDescent="0.3">
      <c r="A4" s="44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Guide</vt:lpstr>
      <vt:lpstr>Diagnostics</vt:lpstr>
      <vt:lpstr>Resultat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Salomé Catteau</dc:creator>
  <cp:lastModifiedBy>Salomé Catteau</cp:lastModifiedBy>
  <dcterms:created xsi:type="dcterms:W3CDTF">2022-11-02T08:10:51Z</dcterms:created>
  <dcterms:modified xsi:type="dcterms:W3CDTF">2022-11-16T11:22:19Z</dcterms:modified>
</cp:coreProperties>
</file>