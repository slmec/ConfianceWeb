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lom\Downloads\"/>
    </mc:Choice>
  </mc:AlternateContent>
  <xr:revisionPtr revIDLastSave="0" documentId="13_ncr:1_{93C52F00-6A41-48E2-891C-30B466E79EA7}" xr6:coauthVersionLast="47" xr6:coauthVersionMax="47" xr10:uidLastSave="{00000000-0000-0000-0000-000000000000}"/>
  <bookViews>
    <workbookView xWindow="-108" yWindow="-108" windowWidth="23256" windowHeight="12456" activeTab="2" xr2:uid="{E61A2F89-7E15-495D-B38D-BE918C7795FE}"/>
  </bookViews>
  <sheets>
    <sheet name="Guide" sheetId="5" r:id="rId1"/>
    <sheet name="Diagnostics" sheetId="1" r:id="rId2"/>
    <sheet name="Resultat" sheetId="6" r:id="rId3"/>
    <sheet name="Base de donnée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G63" i="6"/>
  <c r="G61" i="6"/>
  <c r="AG3" i="2"/>
  <c r="AB3" i="2"/>
  <c r="W3" i="2"/>
  <c r="R3" i="2"/>
  <c r="M3" i="2"/>
  <c r="H3" i="2"/>
  <c r="M46" i="6"/>
  <c r="M44" i="6"/>
  <c r="M42" i="6"/>
  <c r="M40" i="6"/>
  <c r="E46" i="6"/>
  <c r="E44" i="6"/>
  <c r="E42" i="6"/>
  <c r="E40" i="6"/>
  <c r="M33" i="6"/>
  <c r="M31" i="6"/>
  <c r="M29" i="6"/>
  <c r="M27" i="6"/>
  <c r="M20" i="6"/>
  <c r="M18" i="6"/>
  <c r="M16" i="6"/>
  <c r="M14" i="6"/>
  <c r="E33" i="6"/>
  <c r="E31" i="6"/>
  <c r="E29" i="6"/>
  <c r="E27" i="6"/>
  <c r="E20" i="6"/>
  <c r="E18" i="6"/>
  <c r="E16" i="6"/>
  <c r="E14" i="6"/>
  <c r="G9" i="6"/>
  <c r="G7" i="6"/>
  <c r="G5" i="6"/>
  <c r="G57" i="6" l="1"/>
  <c r="G59" i="6"/>
  <c r="G53" i="6"/>
  <c r="G55" i="6"/>
</calcChain>
</file>

<file path=xl/sharedStrings.xml><?xml version="1.0" encoding="utf-8"?>
<sst xmlns="http://schemas.openxmlformats.org/spreadsheetml/2006/main" count="170" uniqueCount="109">
  <si>
    <t>C1</t>
  </si>
  <si>
    <t>C2</t>
  </si>
  <si>
    <t>C3</t>
  </si>
  <si>
    <t>C4</t>
  </si>
  <si>
    <t>C5</t>
  </si>
  <si>
    <t>C6</t>
  </si>
  <si>
    <t>id_diagnostic</t>
  </si>
  <si>
    <t>nom_utilisateur</t>
  </si>
  <si>
    <t>nom_diagnostic</t>
  </si>
  <si>
    <t>Oui</t>
  </si>
  <si>
    <t xml:space="preserve">Le système à base d'IA réduit-il la distinction entre les novices et les experts ? </t>
  </si>
  <si>
    <t>La reconnaissance</t>
  </si>
  <si>
    <t xml:space="preserve">Le système à base d'IA supprime-t-il des tâches pénibles, répétitives ou dangereuses ? </t>
  </si>
  <si>
    <t>L'introduction de la technologie rend-elle moins visible le résultat de l'activité du travailleur ?</t>
  </si>
  <si>
    <t>Des tâches requérant auparavant de l'expertise sont-elles désormais partiellement ou totalement automatisées ?</t>
  </si>
  <si>
    <t>C1Q1</t>
  </si>
  <si>
    <t>C2Q2</t>
  </si>
  <si>
    <t>C1Q3</t>
  </si>
  <si>
    <t>C1Q2</t>
  </si>
  <si>
    <t>C1Q4</t>
  </si>
  <si>
    <t xml:space="preserve">La technologie introduit-elle des flux d'informations directs entre des machines, rendant obsolète le besoin communicationnel entre personnes? </t>
  </si>
  <si>
    <t>Les relations humaines</t>
  </si>
  <si>
    <t>La technologie crée-t-elle une interaction humain-machine au détriment d'une communication entre personnes?</t>
  </si>
  <si>
    <t xml:space="preserve">La technologie intervient-elle dans la communication entre plusieurs personnes? </t>
  </si>
  <si>
    <t>Le système à base d'IA impose-t-il des lexiques et des syntaxes standardisés pour communiquer ?</t>
  </si>
  <si>
    <t>C2Q1</t>
  </si>
  <si>
    <t>C2Q3</t>
  </si>
  <si>
    <t>C2Q4</t>
  </si>
  <si>
    <t>C3Q1</t>
  </si>
  <si>
    <t>C3Q2</t>
  </si>
  <si>
    <t>C3Q3</t>
  </si>
  <si>
    <t>C3Q4</t>
  </si>
  <si>
    <t>C4Q1</t>
  </si>
  <si>
    <t>C4Q2</t>
  </si>
  <si>
    <t>C4Q3</t>
  </si>
  <si>
    <t>C4Q4</t>
  </si>
  <si>
    <t>C5Q1</t>
  </si>
  <si>
    <t>C5Q2</t>
  </si>
  <si>
    <t>C5Q3</t>
  </si>
  <si>
    <t>C5Q4</t>
  </si>
  <si>
    <t>C6Q1</t>
  </si>
  <si>
    <t>C6Q2</t>
  </si>
  <si>
    <t>C6Q3</t>
  </si>
  <si>
    <t>C6Q4</t>
  </si>
  <si>
    <t>NOM DIAGNOSTIC</t>
  </si>
  <si>
    <t>NOM UTILISATEUR</t>
  </si>
  <si>
    <t>ID DIAGNOSTIC</t>
  </si>
  <si>
    <t>Le système à base d'IA intègre-t-il une caméra/micro susceptible de filmer/écouter le travailleur ou d’être perçu comme tel ?</t>
  </si>
  <si>
    <t>La surveillance</t>
  </si>
  <si>
    <t xml:space="preserve">La technologie implique-t-elle des identifiants permettant de collecter des données sur son utilisateur ? </t>
  </si>
  <si>
    <t>Les données collectées par le système à base d'IA sont-elles exploitées pour mesurer la productivité de son utilisateur ?</t>
  </si>
  <si>
    <t>La finalité de l’utilisation des données est-elle transparente ?</t>
  </si>
  <si>
    <t>L'autonomie</t>
  </si>
  <si>
    <t>Le système à base d'IA détermine-t-il un déroulement de l’action du travailleur ?</t>
  </si>
  <si>
    <t>Le système à base d'IA émet-il des notifications à l’adresse du travailleur ?</t>
  </si>
  <si>
    <t>Le système à base d'IA réduit-il ou rend-il plus difficile la prise d’initiative pour le travailleur ?</t>
  </si>
  <si>
    <t>Le travailleur dispose-t-il de marge manœuvre convenue dans l’utilisation ou l’interprétation du système à base d'IA ?</t>
  </si>
  <si>
    <t xml:space="preserve">Le système à base d'IA modifie t-il l'équilibre entre intervention directe sur le produit et supervision de la machine? </t>
  </si>
  <si>
    <t xml:space="preserve">La technologie rend-elle l'activité plus facile à réaliser par tout un chacun? </t>
  </si>
  <si>
    <t xml:space="preserve">Le système à base d'IA rend-il des savoir-faire obsolètes ? </t>
  </si>
  <si>
    <t xml:space="preserve">Le système à base d'IA génère t-il de nouvelles tâches pour le travailleur? </t>
  </si>
  <si>
    <t>Le savoir faire</t>
  </si>
  <si>
    <t xml:space="preserve">L’imputation de responsabilités en cas de problème est-elle un enjeu majeur de l’activité et de l’organisation ? </t>
  </si>
  <si>
    <t>Le système à base d'IA utilise des algorithmes d’apprentissage lui permettant de s’adapter de façon autonome dans un environnement aléatoire ?</t>
  </si>
  <si>
    <t xml:space="preserve">Le système à base d'IA réduit-il la liberté de prise d'initiative du travailleur? </t>
  </si>
  <si>
    <t>Pensez-vous que le système à base d'IA pourrait pousser le travailleur à moins s'investir dans ses tâches et/ou de ses responsabilités ?</t>
  </si>
  <si>
    <t>La responsabilité</t>
  </si>
  <si>
    <t>test1</t>
  </si>
  <si>
    <t>U1</t>
  </si>
  <si>
    <t xml:space="preserve">RECHERCHE PAR ID </t>
  </si>
  <si>
    <t>Reconnaissance</t>
  </si>
  <si>
    <t>Recapitulatif</t>
  </si>
  <si>
    <t>Reconnaissance de l’individu : un expert se distingue par des performances plus élevées. En généralisant l'expertise, la technologie peut réduire cette différence et alimenter le sentiment d'être facilement substituable.</t>
  </si>
  <si>
    <t xml:space="preserve">Reconnaissance de la pratique: Le savoir-faire est à la base de la reconnaissance des travailleurs. En automatisant un savoir-faire ces derniers perdent un élément de distinction. </t>
  </si>
  <si>
    <t>Reconnaissance des efforts: Certaines tâches répétitives ne permettent pas aux travailleurs de se distinguer. Attention toutefois, un travailleur peut se distinguer par des performances physiques supérieures.</t>
  </si>
  <si>
    <t>Reconnaissance du résultat: Une technologie peut invisibiliser le produit du savoir-faire des travailleurs.</t>
  </si>
  <si>
    <t xml:space="preserve">La soustraction pure et simple de l’humain dans un système de communication peut avoir des impacts importants, pas seulement socialement mais aussi dans le travail. </t>
  </si>
  <si>
    <t>Le remplacement d’une communication humaine par une interaction humain machine peut entraîner un isolement social et une perte de partage d’informations.</t>
  </si>
  <si>
    <t>Une technologie de communication a des effets de formatage sur l’émission et la réception d’une information. Ces effets doivent faire l’objet d’un suivi qualifiant l’impact sur l’intercompréhension.</t>
  </si>
  <si>
    <t>L’automatisation des modalités d’interactions peut induire une limitation du langage préjudiciable aux travailleurs (RPS) et à la précision de la description des situations.</t>
  </si>
  <si>
    <t>Que ces appareils soient utilisés pour la surveillance ou non, ils portent un imaginaire fortement ancré qui sera plus ou moins activé suivant la technologie.</t>
  </si>
  <si>
    <t xml:space="preserve">La personnification des données recueillies augmente significativement la méfiance. </t>
  </si>
  <si>
    <t>La collecte de données d'activité du travailleur peut être exploitée pour augmenter sa productivité et intensifier le travail.</t>
  </si>
  <si>
    <t xml:space="preserve">Les machines et plus spécifiquement celles à base d’IA renvoient à un imaginaire important. L'absence de transparence de la finalité des données augmente la méfiance. </t>
  </si>
  <si>
    <t>La planification et l'organisation font partie intégrante du savoir-faire des travailleurs. Dicter le rythme peut entraîner une souffrance au travail et dégrader la flexibilité cognitive permettant de s’adapter aux aléas.</t>
  </si>
  <si>
    <t>Les notifications peuvent interrompre les travailleurs dans leur activité. Elles peuvent aussi interférer sur la liberté de jugement.</t>
  </si>
  <si>
    <t>La technologie peut faire passer les travailleurs d’une logique pro-active à une logique réactive. Ils peuvent aussi ne plus oser de peur de questionner le processus algorithmique ou de se tromper.</t>
  </si>
  <si>
    <t xml:space="preserve">L’absence de marge de manoeuvre autorisée par l’organisation vis à vis de la technologie peut réduire sa capacité d’adaptation et l’intérêt qu’il ressentira pour son activité. </t>
  </si>
  <si>
    <t xml:space="preserve">Quand l’activité du travailleur n’est plus de produire mais d’agir sur les machines de production, alors celui-ci peut ressentir une plus value réduite ou une perte d’intérêt. </t>
  </si>
  <si>
    <t xml:space="preserve">Il est possible que la technologie réalise les tâches à haute valeur ajoutée, laissant au travailleur des tâches nécessitant moins de savoir-faire. </t>
  </si>
  <si>
    <t>Cette obsolescence impacte l’estime que le travailleur a de lui même mais aussi sa place dans l’organisation.</t>
  </si>
  <si>
    <t>La technologie peut s’emparer des tâches à faible valeur ajoutée, permettant au travailleur de réaliser des tâches complexes dans lesquelles il exprime son savoir-faire ou un nouveau savoir-faire, comme l’utilisation de la technologie.</t>
  </si>
  <si>
    <t>L'introduction d'une technologie qui automatise des tâches produit une nouvelle division du travail. Toute division du travail réduit le sentiment de responsabilité de chacun vis-à-vis de l'ensemble.</t>
  </si>
  <si>
    <t>Les algorithmes d'apprentissage sont supposés pouvoir s'adapter à un environnement aléatoire. Cela complexifie l'imputation des responsabilités quand la décision résulte d'un apprentissage et non d'une règle que la technologie se contente d'appliquer.</t>
  </si>
  <si>
    <t>Le sentiment de responsabilité est proportionnel à l'espace de liberté. Lorsqu'une technologie interfère dans le jugement du travailleur, cela peut inhiber son libre-arbitre et réduire son engagement moral vis-à-vis des conséquences de son action.</t>
  </si>
  <si>
    <t>La supériorité présupposée de la technologie peut conduire le travailleur à s'effacer devant l' "autorité machinique" au détriment de sa propre perception des situations. La performance de la technologie a pour corollaire un désengagement humain.</t>
  </si>
  <si>
    <t>Bienvenue sur l'outil MAIAT</t>
  </si>
  <si>
    <t xml:space="preserve">Les seules cases à completer sont les cases au fond jaune. </t>
  </si>
  <si>
    <t>- repondre à 24 questions par "Oui" ou par "Non"</t>
  </si>
  <si>
    <t>Dans l'onglet Diagnostic, vous devrez :</t>
  </si>
  <si>
    <t>- renter le nom du Diagnostic</t>
  </si>
  <si>
    <t>- renter votre nom</t>
  </si>
  <si>
    <t>L'ID du diagnostic s'auto-incremente tout seul</t>
  </si>
  <si>
    <t xml:space="preserve">Veuillez le conserver afin de facilement afficher vos résultats. </t>
  </si>
  <si>
    <t xml:space="preserve">Pour valider votre diagnostic il faut appuyer sur le bouton "Sauvegarder". </t>
  </si>
  <si>
    <t>Dans l'onglet Resultat, il faut uniquement renter l'ID du diagnotic voulu</t>
  </si>
  <si>
    <t>Dans l'onglet Base de données, vous retrouverez tous les diagnotics déjà réalisés.</t>
  </si>
  <si>
    <t xml:space="preserve">Si vous ne vous souvenez plus de l'ID d'un diagnostic, vous pouvez retrouver cette information dans l'onglet Base de donées.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</si>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</sst>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72"/>
      <color rgb="FF0070C0"/>
      <name val="Calibri"/>
      <family val="2"/>
      <scheme val="minor"/>
    </font>
    <font>
      <sz val="11"/>
      <color rgb="FFFF9900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22"/>
      <color rgb="FFFF99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5" fillId="0" borderId="1" xfId="0" applyFont="1" applyBorder="1" applyAlignment="1">
      <alignment horizontal="center" vertical="center"/>
    </xf>
    <xf numFmtId="0" fontId="0" fillId="4" borderId="0" xfId="0" applyFill="1"/>
    <xf numFmtId="0" fontId="1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quotePrefix="1"/>
    <xf numFmtId="0" fontId="5" fillId="6" borderId="0" xfId="0" applyFont="1" applyFill="1" applyAlignment="1">
      <alignment horizontal="center" vertical="center"/>
    </xf>
    <xf numFmtId="0" fontId="8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0" borderId="0" xfId="0" applyFont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0" fillId="3" borderId="0" xfId="0" applyFill="1"/>
    <xf numFmtId="0" fontId="2" fillId="3" borderId="0" xfId="0" applyFont="1" applyFill="1"/>
    <xf numFmtId="0" fontId="0" fillId="3" borderId="0" xfId="0" applyFill="1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7" fillId="3" borderId="0" xfId="0" applyFont="1" applyFill="1"/>
    <xf numFmtId="0" fontId="7" fillId="0" borderId="0" xfId="0" applyFont="1"/>
    <xf numFmtId="0" fontId="12" fillId="0" borderId="0" xfId="0" applyFont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1" fillId="4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3" fillId="4" borderId="0" xfId="0" applyFont="1" applyFill="1"/>
    <xf numFmtId="0" fontId="0" fillId="2" borderId="0" xfId="0" applyFill="1"/>
    <xf numFmtId="0" fontId="2" fillId="2" borderId="0" xfId="0" applyFont="1" applyFill="1"/>
    <xf numFmtId="0" fontId="0" fillId="2" borderId="0" xfId="0" applyFill="1" applyAlignment="1">
      <alignment horizontal="center"/>
    </xf>
    <xf numFmtId="0" fontId="4" fillId="6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>
      <alignment horizontal="center" vertical="center" wrapText="1"/>
    </xf>
    <xf numFmtId="0" fontId="7" fillId="2" borderId="0" xfId="0" applyFont="1" applyFill="1"/>
    <xf numFmtId="0" fontId="0" fillId="3" borderId="0" xfId="0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3" fillId="3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24"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(Resultat!$C$53,Resultat!$C$55,Resultat!$C$57,Resultat!$C$59,Resultat!$C$61,Resultat!$C$63)</c:f>
              <c:strCache>
                <c:ptCount val="6"/>
                <c:pt idx="0">
                  <c:v>Reconnaissance</c:v>
                </c:pt>
                <c:pt idx="1">
                  <c:v>Les relations humaines</c:v>
                </c:pt>
                <c:pt idx="2">
                  <c:v>La surveillance</c:v>
                </c:pt>
                <c:pt idx="3">
                  <c:v>L'autonomie</c:v>
                </c:pt>
                <c:pt idx="4">
                  <c:v>Le savoir faire</c:v>
                </c:pt>
                <c:pt idx="5">
                  <c:v>La responsabilité</c:v>
                </c:pt>
              </c:strCache>
            </c:strRef>
          </c:cat>
          <c:val>
            <c:numRef>
              <c:f>(Resultat!$G$53,Resultat!$G$55,Resultat!$G$57,Resultat!$G$59,Resultat!$G$61,Resultat!$G$63)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3-4B2A-995C-BFE5B38D6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839760"/>
        <c:axId val="686840744"/>
      </c:radarChart>
      <c:catAx>
        <c:axId val="68683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6840744"/>
        <c:crosses val="autoZero"/>
        <c:auto val="1"/>
        <c:lblAlgn val="ctr"/>
        <c:lblOffset val="100"/>
        <c:noMultiLvlLbl val="0"/>
      </c:catAx>
      <c:valAx>
        <c:axId val="686840744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683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44</xdr:row>
          <xdr:rowOff>83820</xdr:rowOff>
        </xdr:from>
        <xdr:to>
          <xdr:col>13</xdr:col>
          <xdr:colOff>22860</xdr:colOff>
          <xdr:row>46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291812</xdr:colOff>
      <xdr:row>51</xdr:row>
      <xdr:rowOff>57151</xdr:rowOff>
    </xdr:from>
    <xdr:to>
      <xdr:col>15</xdr:col>
      <xdr:colOff>38100</xdr:colOff>
      <xdr:row>62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B24-08E3-481F-A879-A21E5C9981B9}">
  <sheetPr codeName="Feuil5"/>
  <dimension ref="A2:B17"/>
  <sheetViews>
    <sheetView workbookViewId="0">
      <selection activeCell="B9" sqref="B9"/>
    </sheetView>
  </sheetViews>
  <sheetFormatPr baseColWidth="10" defaultRowHeight="14.4" x14ac:dyDescent="0.3"/>
  <sheetData>
    <row r="2" spans="1:2" x14ac:dyDescent="0.3">
      <c r="A2" t="s">
        <v>96</v>
      </c>
    </row>
    <row r="4" spans="1:2" x14ac:dyDescent="0.3">
      <c r="A4" t="s">
        <v>97</v>
      </c>
    </row>
    <row r="6" spans="1:2" x14ac:dyDescent="0.3">
      <c r="A6" t="s">
        <v>99</v>
      </c>
    </row>
    <row r="7" spans="1:2" x14ac:dyDescent="0.3">
      <c r="B7" s="19" t="s">
        <v>100</v>
      </c>
    </row>
    <row r="8" spans="1:2" x14ac:dyDescent="0.3">
      <c r="B8" s="19" t="s">
        <v>101</v>
      </c>
    </row>
    <row r="9" spans="1:2" x14ac:dyDescent="0.3">
      <c r="B9" s="19" t="s">
        <v>98</v>
      </c>
    </row>
    <row r="10" spans="1:2" x14ac:dyDescent="0.3">
      <c r="A10" t="s">
        <v>102</v>
      </c>
      <c r="B10" s="19"/>
    </row>
    <row r="11" spans="1:2" x14ac:dyDescent="0.3">
      <c r="A11" t="s">
        <v>103</v>
      </c>
    </row>
    <row r="12" spans="1:2" x14ac:dyDescent="0.3">
      <c r="A12" t="s">
        <v>104</v>
      </c>
    </row>
    <row r="14" spans="1:2" x14ac:dyDescent="0.3">
      <c r="A14" t="s">
        <v>105</v>
      </c>
    </row>
    <row r="15" spans="1:2" x14ac:dyDescent="0.3">
      <c r="A15" t="s">
        <v>107</v>
      </c>
    </row>
    <row r="17" spans="1:1" x14ac:dyDescent="0.3">
      <c r="A17" t="s">
        <v>106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FF396-5132-4C1E-A433-5AE81136619A}">
  <sheetPr codeName="Feuil1"/>
  <dimension ref="B1:S49"/>
  <sheetViews>
    <sheetView showGridLines="0" zoomScale="40" zoomScaleNormal="40" workbookViewId="0">
      <selection activeCell="J4" sqref="J4"/>
    </sheetView>
  </sheetViews>
  <sheetFormatPr baseColWidth="10" defaultRowHeight="14.4" x14ac:dyDescent="0.3"/>
  <cols>
    <col min="2" max="2" width="11.5546875" customWidth="1"/>
    <col min="3" max="3" width="5.77734375" customWidth="1"/>
    <col min="4" max="4" width="50.77734375" customWidth="1"/>
    <col min="5" max="5" width="5.77734375" customWidth="1"/>
    <col min="7" max="7" width="5.77734375" customWidth="1"/>
    <col min="9" max="9" width="5.77734375" customWidth="1"/>
    <col min="10" max="10" width="50.77734375" customWidth="1"/>
    <col min="11" max="11" width="5.77734375" customWidth="1"/>
    <col min="13" max="13" width="5.77734375" customWidth="1"/>
    <col min="15" max="15" width="5.77734375" customWidth="1"/>
    <col min="16" max="16" width="50.77734375" customWidth="1"/>
    <col min="17" max="17" width="5.77734375" customWidth="1"/>
    <col min="19" max="19" width="5.77734375" customWidth="1"/>
  </cols>
  <sheetData>
    <row r="1" spans="2:19" ht="15" thickBot="1" x14ac:dyDescent="0.35"/>
    <row r="2" spans="2:19" x14ac:dyDescent="0.3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</row>
    <row r="3" spans="2:19" ht="30" customHeight="1" x14ac:dyDescent="0.3">
      <c r="B3" s="4"/>
      <c r="D3" s="10" t="s">
        <v>46</v>
      </c>
      <c r="E3" s="25"/>
      <c r="F3" s="25"/>
      <c r="J3" s="15">
        <f>'Base de données'!A3+1</f>
        <v>2</v>
      </c>
      <c r="N3" s="5"/>
      <c r="O3" s="22"/>
      <c r="P3" s="22"/>
      <c r="Q3" s="22"/>
      <c r="R3" s="22"/>
      <c r="S3" s="22"/>
    </row>
    <row r="4" spans="2:19" ht="14.4" customHeight="1" x14ac:dyDescent="0.3">
      <c r="B4" s="4"/>
      <c r="N4" s="5"/>
      <c r="O4" s="22"/>
      <c r="P4" s="22"/>
      <c r="Q4" s="22"/>
      <c r="R4" s="22"/>
      <c r="S4" s="22"/>
    </row>
    <row r="5" spans="2:19" ht="28.8" customHeight="1" x14ac:dyDescent="0.3">
      <c r="B5" s="4"/>
      <c r="D5" s="10" t="s">
        <v>44</v>
      </c>
      <c r="E5" s="25"/>
      <c r="F5" s="25"/>
      <c r="J5" s="16"/>
      <c r="N5" s="5"/>
      <c r="O5" s="22"/>
      <c r="P5" s="22"/>
      <c r="Q5" s="22"/>
      <c r="R5" s="22"/>
      <c r="S5" s="22"/>
    </row>
    <row r="6" spans="2:19" ht="14.4" customHeight="1" x14ac:dyDescent="0.3">
      <c r="B6" s="4"/>
      <c r="N6" s="5"/>
      <c r="O6" s="22"/>
      <c r="P6" s="22"/>
      <c r="Q6" s="22"/>
      <c r="R6" s="22"/>
      <c r="S6" s="22"/>
    </row>
    <row r="7" spans="2:19" ht="30.6" customHeight="1" x14ac:dyDescent="0.3">
      <c r="B7" s="4"/>
      <c r="D7" s="10" t="s">
        <v>45</v>
      </c>
      <c r="E7" s="25"/>
      <c r="F7" s="25"/>
      <c r="J7" s="16"/>
      <c r="N7" s="5"/>
      <c r="O7" s="22"/>
      <c r="P7" s="22"/>
      <c r="Q7" s="22"/>
      <c r="R7" s="22"/>
      <c r="S7" s="22"/>
    </row>
    <row r="8" spans="2:19" x14ac:dyDescent="0.3">
      <c r="B8" s="4"/>
      <c r="N8" s="5"/>
    </row>
    <row r="9" spans="2:19" x14ac:dyDescent="0.3">
      <c r="B9" s="6"/>
      <c r="C9" s="44"/>
      <c r="D9" s="52"/>
      <c r="E9" s="52"/>
      <c r="F9" s="52"/>
      <c r="G9" s="44"/>
      <c r="I9" s="44"/>
      <c r="J9" s="45"/>
      <c r="K9" s="45"/>
      <c r="L9" s="45"/>
      <c r="M9" s="44"/>
      <c r="N9" s="5"/>
    </row>
    <row r="10" spans="2:19" ht="25.05" customHeight="1" x14ac:dyDescent="0.3">
      <c r="B10" s="6"/>
      <c r="C10" s="44"/>
      <c r="D10" s="51" t="s">
        <v>11</v>
      </c>
      <c r="E10" s="51"/>
      <c r="F10" s="51"/>
      <c r="G10" s="44"/>
      <c r="I10" s="44"/>
      <c r="J10" s="51" t="s">
        <v>48</v>
      </c>
      <c r="K10" s="51"/>
      <c r="L10" s="51"/>
      <c r="M10" s="44"/>
      <c r="N10" s="5"/>
    </row>
    <row r="11" spans="2:19" x14ac:dyDescent="0.3">
      <c r="B11" s="6"/>
      <c r="C11" s="44"/>
      <c r="D11" s="44"/>
      <c r="E11" s="44"/>
      <c r="F11" s="46"/>
      <c r="G11" s="44"/>
      <c r="I11" s="44"/>
      <c r="J11" s="44"/>
      <c r="K11" s="44"/>
      <c r="L11" s="46"/>
      <c r="M11" s="44"/>
      <c r="N11" s="5"/>
    </row>
    <row r="12" spans="2:19" ht="49.95" customHeight="1" x14ac:dyDescent="0.3">
      <c r="B12" s="6"/>
      <c r="C12" s="44"/>
      <c r="D12" s="48" t="s">
        <v>10</v>
      </c>
      <c r="E12" s="44"/>
      <c r="F12" s="47"/>
      <c r="G12" s="44"/>
      <c r="I12" s="44"/>
      <c r="J12" s="48" t="s">
        <v>47</v>
      </c>
      <c r="K12" s="44"/>
      <c r="L12" s="47"/>
      <c r="M12" s="44"/>
      <c r="N12" s="5"/>
    </row>
    <row r="13" spans="2:19" x14ac:dyDescent="0.3">
      <c r="B13" s="6"/>
      <c r="C13" s="44"/>
      <c r="D13" s="44"/>
      <c r="E13" s="44"/>
      <c r="F13" s="46"/>
      <c r="G13" s="44"/>
      <c r="I13" s="44"/>
      <c r="J13" s="44"/>
      <c r="K13" s="44"/>
      <c r="L13" s="46"/>
      <c r="M13" s="44"/>
      <c r="N13" s="5"/>
    </row>
    <row r="14" spans="2:19" ht="49.95" customHeight="1" x14ac:dyDescent="0.3">
      <c r="B14" s="4"/>
      <c r="C14" s="44"/>
      <c r="D14" s="48" t="s">
        <v>14</v>
      </c>
      <c r="E14" s="44"/>
      <c r="F14" s="47"/>
      <c r="G14" s="44"/>
      <c r="I14" s="44"/>
      <c r="J14" s="48" t="s">
        <v>49</v>
      </c>
      <c r="K14" s="44"/>
      <c r="L14" s="47"/>
      <c r="M14" s="44"/>
      <c r="N14" s="5"/>
    </row>
    <row r="15" spans="2:19" x14ac:dyDescent="0.3">
      <c r="B15" s="4"/>
      <c r="C15" s="44"/>
      <c r="D15" s="44"/>
      <c r="E15" s="44"/>
      <c r="F15" s="46"/>
      <c r="G15" s="44"/>
      <c r="I15" s="44"/>
      <c r="J15" s="44"/>
      <c r="K15" s="44"/>
      <c r="L15" s="46"/>
      <c r="M15" s="44"/>
      <c r="N15" s="5"/>
    </row>
    <row r="16" spans="2:19" ht="49.95" customHeight="1" x14ac:dyDescent="0.3">
      <c r="B16" s="4"/>
      <c r="C16" s="44"/>
      <c r="D16" s="48" t="s">
        <v>12</v>
      </c>
      <c r="E16" s="44"/>
      <c r="F16" s="47"/>
      <c r="G16" s="44"/>
      <c r="I16" s="44"/>
      <c r="J16" s="48" t="s">
        <v>50</v>
      </c>
      <c r="K16" s="44"/>
      <c r="L16" s="47"/>
      <c r="M16" s="44"/>
      <c r="N16" s="5"/>
    </row>
    <row r="17" spans="2:14" x14ac:dyDescent="0.3">
      <c r="B17" s="4"/>
      <c r="C17" s="44"/>
      <c r="D17" s="44"/>
      <c r="E17" s="44"/>
      <c r="F17" s="44"/>
      <c r="G17" s="44"/>
      <c r="I17" s="44"/>
      <c r="J17" s="44"/>
      <c r="K17" s="44"/>
      <c r="L17" s="44"/>
      <c r="M17" s="44"/>
      <c r="N17" s="5"/>
    </row>
    <row r="18" spans="2:14" ht="49.95" customHeight="1" x14ac:dyDescent="0.3">
      <c r="B18" s="4"/>
      <c r="C18" s="44"/>
      <c r="D18" s="48" t="s">
        <v>13</v>
      </c>
      <c r="E18" s="44"/>
      <c r="F18" s="47"/>
      <c r="G18" s="44"/>
      <c r="I18" s="44"/>
      <c r="J18" s="48" t="s">
        <v>51</v>
      </c>
      <c r="K18" s="44"/>
      <c r="L18" s="47"/>
      <c r="M18" s="44"/>
      <c r="N18" s="5"/>
    </row>
    <row r="19" spans="2:14" x14ac:dyDescent="0.3">
      <c r="B19" s="4"/>
      <c r="C19" s="44"/>
      <c r="D19" s="44"/>
      <c r="E19" s="44"/>
      <c r="F19" s="44"/>
      <c r="G19" s="44"/>
      <c r="I19" s="44"/>
      <c r="J19" s="44"/>
      <c r="K19" s="44"/>
      <c r="L19" s="44"/>
      <c r="M19" s="44"/>
      <c r="N19" s="5"/>
    </row>
    <row r="20" spans="2:14" x14ac:dyDescent="0.3">
      <c r="B20" s="4"/>
      <c r="N20" s="5"/>
    </row>
    <row r="21" spans="2:14" x14ac:dyDescent="0.3">
      <c r="B21" s="4"/>
      <c r="C21" s="44"/>
      <c r="D21" s="45"/>
      <c r="E21" s="45"/>
      <c r="F21" s="45"/>
      <c r="G21" s="44"/>
      <c r="I21" s="44"/>
      <c r="J21" s="45"/>
      <c r="K21" s="45"/>
      <c r="L21" s="45"/>
      <c r="M21" s="44"/>
      <c r="N21" s="5"/>
    </row>
    <row r="22" spans="2:14" ht="25.05" customHeight="1" x14ac:dyDescent="0.3">
      <c r="B22" s="4"/>
      <c r="C22" s="44"/>
      <c r="D22" s="51" t="s">
        <v>21</v>
      </c>
      <c r="E22" s="51"/>
      <c r="F22" s="51"/>
      <c r="G22" s="44"/>
      <c r="I22" s="44"/>
      <c r="J22" s="51" t="s">
        <v>52</v>
      </c>
      <c r="K22" s="51"/>
      <c r="L22" s="51"/>
      <c r="M22" s="44"/>
      <c r="N22" s="5"/>
    </row>
    <row r="23" spans="2:14" x14ac:dyDescent="0.3">
      <c r="B23" s="4"/>
      <c r="C23" s="44"/>
      <c r="D23" s="44"/>
      <c r="E23" s="44"/>
      <c r="F23" s="46"/>
      <c r="G23" s="44"/>
      <c r="I23" s="44"/>
      <c r="J23" s="44"/>
      <c r="K23" s="44"/>
      <c r="L23" s="46"/>
      <c r="M23" s="44"/>
      <c r="N23" s="5"/>
    </row>
    <row r="24" spans="2:14" ht="49.95" customHeight="1" x14ac:dyDescent="0.3">
      <c r="B24" s="4"/>
      <c r="C24" s="44"/>
      <c r="D24" s="48" t="s">
        <v>20</v>
      </c>
      <c r="E24" s="44"/>
      <c r="F24" s="47"/>
      <c r="G24" s="44"/>
      <c r="I24" s="44"/>
      <c r="J24" s="48" t="s">
        <v>53</v>
      </c>
      <c r="K24" s="44"/>
      <c r="L24" s="47"/>
      <c r="M24" s="44"/>
      <c r="N24" s="5"/>
    </row>
    <row r="25" spans="2:14" x14ac:dyDescent="0.3">
      <c r="B25" s="4"/>
      <c r="C25" s="44"/>
      <c r="D25" s="44"/>
      <c r="E25" s="44"/>
      <c r="F25" s="46"/>
      <c r="G25" s="44"/>
      <c r="I25" s="44"/>
      <c r="J25" s="44"/>
      <c r="K25" s="44"/>
      <c r="L25" s="46"/>
      <c r="M25" s="44"/>
      <c r="N25" s="5"/>
    </row>
    <row r="26" spans="2:14" ht="49.95" customHeight="1" x14ac:dyDescent="0.3">
      <c r="B26" s="4"/>
      <c r="C26" s="44"/>
      <c r="D26" s="48" t="s">
        <v>22</v>
      </c>
      <c r="E26" s="44"/>
      <c r="F26" s="47"/>
      <c r="G26" s="44"/>
      <c r="I26" s="44"/>
      <c r="J26" s="48" t="s">
        <v>54</v>
      </c>
      <c r="K26" s="44"/>
      <c r="L26" s="47"/>
      <c r="M26" s="44"/>
      <c r="N26" s="5"/>
    </row>
    <row r="27" spans="2:14" x14ac:dyDescent="0.3">
      <c r="B27" s="4"/>
      <c r="C27" s="44"/>
      <c r="D27" s="44"/>
      <c r="E27" s="44"/>
      <c r="F27" s="46"/>
      <c r="G27" s="44"/>
      <c r="I27" s="44"/>
      <c r="J27" s="44"/>
      <c r="K27" s="44"/>
      <c r="L27" s="46"/>
      <c r="M27" s="44"/>
      <c r="N27" s="5"/>
    </row>
    <row r="28" spans="2:14" ht="49.95" customHeight="1" x14ac:dyDescent="0.3">
      <c r="B28" s="4"/>
      <c r="C28" s="44"/>
      <c r="D28" s="48" t="s">
        <v>23</v>
      </c>
      <c r="E28" s="44"/>
      <c r="F28" s="47"/>
      <c r="G28" s="44"/>
      <c r="I28" s="44"/>
      <c r="J28" s="48" t="s">
        <v>55</v>
      </c>
      <c r="K28" s="44"/>
      <c r="L28" s="47"/>
      <c r="M28" s="44"/>
      <c r="N28" s="5"/>
    </row>
    <row r="29" spans="2:14" x14ac:dyDescent="0.3">
      <c r="B29" s="4"/>
      <c r="C29" s="44"/>
      <c r="D29" s="44"/>
      <c r="E29" s="44"/>
      <c r="F29" s="44"/>
      <c r="G29" s="44"/>
      <c r="I29" s="44"/>
      <c r="J29" s="44"/>
      <c r="K29" s="44"/>
      <c r="L29" s="44"/>
      <c r="M29" s="44"/>
      <c r="N29" s="5"/>
    </row>
    <row r="30" spans="2:14" ht="49.95" customHeight="1" x14ac:dyDescent="0.3">
      <c r="B30" s="4"/>
      <c r="C30" s="44"/>
      <c r="D30" s="48" t="s">
        <v>24</v>
      </c>
      <c r="E30" s="44"/>
      <c r="F30" s="47"/>
      <c r="G30" s="44"/>
      <c r="I30" s="44"/>
      <c r="J30" s="48" t="s">
        <v>56</v>
      </c>
      <c r="K30" s="44"/>
      <c r="L30" s="47"/>
      <c r="M30" s="44"/>
      <c r="N30" s="5"/>
    </row>
    <row r="31" spans="2:14" x14ac:dyDescent="0.3">
      <c r="B31" s="4"/>
      <c r="C31" s="44"/>
      <c r="D31" s="44"/>
      <c r="E31" s="44"/>
      <c r="F31" s="44"/>
      <c r="G31" s="44"/>
      <c r="I31" s="44"/>
      <c r="J31" s="44"/>
      <c r="K31" s="44"/>
      <c r="L31" s="44"/>
      <c r="M31" s="44"/>
      <c r="N31" s="5"/>
    </row>
    <row r="32" spans="2:14" x14ac:dyDescent="0.3">
      <c r="B32" s="4"/>
      <c r="N32" s="5"/>
    </row>
    <row r="33" spans="2:14" x14ac:dyDescent="0.3">
      <c r="B33" s="4"/>
      <c r="C33" s="44"/>
      <c r="D33" s="45"/>
      <c r="E33" s="45"/>
      <c r="F33" s="45"/>
      <c r="G33" s="44"/>
      <c r="I33" s="44"/>
      <c r="J33" s="45"/>
      <c r="K33" s="45"/>
      <c r="L33" s="45"/>
      <c r="M33" s="44"/>
      <c r="N33" s="5"/>
    </row>
    <row r="34" spans="2:14" ht="25.05" customHeight="1" x14ac:dyDescent="0.3">
      <c r="B34" s="4"/>
      <c r="C34" s="44"/>
      <c r="D34" s="51" t="s">
        <v>61</v>
      </c>
      <c r="E34" s="51"/>
      <c r="F34" s="51"/>
      <c r="G34" s="44"/>
      <c r="I34" s="44"/>
      <c r="J34" s="51" t="s">
        <v>66</v>
      </c>
      <c r="K34" s="51"/>
      <c r="L34" s="51"/>
      <c r="M34" s="44"/>
      <c r="N34" s="5"/>
    </row>
    <row r="35" spans="2:14" x14ac:dyDescent="0.3">
      <c r="B35" s="4"/>
      <c r="C35" s="44"/>
      <c r="D35" s="44"/>
      <c r="E35" s="44"/>
      <c r="F35" s="46"/>
      <c r="G35" s="44"/>
      <c r="I35" s="44"/>
      <c r="J35" s="44"/>
      <c r="K35" s="44"/>
      <c r="L35" s="46"/>
      <c r="M35" s="44"/>
      <c r="N35" s="5"/>
    </row>
    <row r="36" spans="2:14" ht="49.95" customHeight="1" x14ac:dyDescent="0.3">
      <c r="B36" s="4"/>
      <c r="C36" s="44"/>
      <c r="D36" s="48" t="s">
        <v>57</v>
      </c>
      <c r="E36" s="44"/>
      <c r="F36" s="47"/>
      <c r="G36" s="44"/>
      <c r="I36" s="44"/>
      <c r="J36" s="48" t="s">
        <v>62</v>
      </c>
      <c r="K36" s="44"/>
      <c r="L36" s="47"/>
      <c r="M36" s="44"/>
      <c r="N36" s="5"/>
    </row>
    <row r="37" spans="2:14" x14ac:dyDescent="0.3">
      <c r="B37" s="4"/>
      <c r="C37" s="44"/>
      <c r="D37" s="44"/>
      <c r="E37" s="44"/>
      <c r="F37" s="46"/>
      <c r="G37" s="44"/>
      <c r="I37" s="44"/>
      <c r="J37" s="44"/>
      <c r="K37" s="44"/>
      <c r="L37" s="46"/>
      <c r="M37" s="44"/>
      <c r="N37" s="5"/>
    </row>
    <row r="38" spans="2:14" ht="49.95" customHeight="1" x14ac:dyDescent="0.3">
      <c r="B38" s="4"/>
      <c r="C38" s="44"/>
      <c r="D38" s="48" t="s">
        <v>58</v>
      </c>
      <c r="E38" s="44"/>
      <c r="F38" s="47"/>
      <c r="G38" s="44"/>
      <c r="I38" s="44"/>
      <c r="J38" s="48" t="s">
        <v>63</v>
      </c>
      <c r="K38" s="44"/>
      <c r="L38" s="47"/>
      <c r="M38" s="44"/>
      <c r="N38" s="5"/>
    </row>
    <row r="39" spans="2:14" x14ac:dyDescent="0.3">
      <c r="B39" s="4"/>
      <c r="C39" s="44"/>
      <c r="D39" s="44"/>
      <c r="E39" s="44"/>
      <c r="F39" s="46"/>
      <c r="G39" s="44"/>
      <c r="I39" s="44"/>
      <c r="J39" s="44"/>
      <c r="K39" s="44"/>
      <c r="L39" s="46"/>
      <c r="M39" s="44"/>
      <c r="N39" s="5"/>
    </row>
    <row r="40" spans="2:14" ht="49.95" customHeight="1" x14ac:dyDescent="0.3">
      <c r="B40" s="4"/>
      <c r="C40" s="44"/>
      <c r="D40" s="48" t="s">
        <v>59</v>
      </c>
      <c r="E40" s="44"/>
      <c r="F40" s="47"/>
      <c r="G40" s="44"/>
      <c r="I40" s="44"/>
      <c r="J40" s="48" t="s">
        <v>64</v>
      </c>
      <c r="K40" s="44"/>
      <c r="L40" s="47"/>
      <c r="M40" s="44"/>
      <c r="N40" s="5"/>
    </row>
    <row r="41" spans="2:14" x14ac:dyDescent="0.3">
      <c r="B41" s="4"/>
      <c r="C41" s="44"/>
      <c r="D41" s="44"/>
      <c r="E41" s="44"/>
      <c r="F41" s="44"/>
      <c r="G41" s="44"/>
      <c r="I41" s="44"/>
      <c r="J41" s="44"/>
      <c r="K41" s="44"/>
      <c r="L41" s="44"/>
      <c r="M41" s="44"/>
      <c r="N41" s="5"/>
    </row>
    <row r="42" spans="2:14" ht="49.95" customHeight="1" x14ac:dyDescent="0.3">
      <c r="B42" s="4"/>
      <c r="C42" s="44"/>
      <c r="D42" s="48" t="s">
        <v>60</v>
      </c>
      <c r="E42" s="44"/>
      <c r="F42" s="47"/>
      <c r="G42" s="44"/>
      <c r="I42" s="44"/>
      <c r="J42" s="50" t="s">
        <v>65</v>
      </c>
      <c r="K42" s="44"/>
      <c r="L42" s="47"/>
      <c r="M42" s="44"/>
      <c r="N42" s="5"/>
    </row>
    <row r="43" spans="2:14" x14ac:dyDescent="0.3">
      <c r="B43" s="4"/>
      <c r="C43" s="44"/>
      <c r="D43" s="44"/>
      <c r="E43" s="44"/>
      <c r="F43" s="44"/>
      <c r="G43" s="44"/>
      <c r="I43" s="44"/>
      <c r="J43" s="49"/>
      <c r="K43" s="44"/>
      <c r="L43" s="44"/>
      <c r="M43" s="44"/>
      <c r="N43" s="5"/>
    </row>
    <row r="44" spans="2:14" x14ac:dyDescent="0.3">
      <c r="B44" s="4"/>
      <c r="N44" s="5"/>
    </row>
    <row r="45" spans="2:14" x14ac:dyDescent="0.3">
      <c r="B45" s="4"/>
      <c r="N45" s="5"/>
    </row>
    <row r="46" spans="2:14" x14ac:dyDescent="0.3">
      <c r="B46" s="4"/>
      <c r="N46" s="5"/>
    </row>
    <row r="47" spans="2:14" x14ac:dyDescent="0.3">
      <c r="B47" s="4"/>
      <c r="N47" s="5"/>
    </row>
    <row r="48" spans="2:14" x14ac:dyDescent="0.3">
      <c r="B48" s="4"/>
      <c r="N48" s="5"/>
    </row>
    <row r="49" spans="2:14" ht="15" thickBot="1" x14ac:dyDescent="0.35"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9"/>
    </row>
  </sheetData>
  <sheetProtection selectLockedCells="1"/>
  <mergeCells count="7">
    <mergeCell ref="D10:F10"/>
    <mergeCell ref="D9:F9"/>
    <mergeCell ref="J22:L22"/>
    <mergeCell ref="J10:L10"/>
    <mergeCell ref="D34:F34"/>
    <mergeCell ref="J34:L34"/>
    <mergeCell ref="D22:F22"/>
  </mergeCells>
  <dataValidations count="1">
    <dataValidation type="list" showInputMessage="1" showErrorMessage="1" sqref="F12 F26 L40 L30 L42 L26 F16 L16 F36 L18 F28 F14 L14 F24 L24 F40 F18 L38 F42 F30 L36 F38 L28 L12" xr:uid="{51E73F8C-8108-44C9-AD16-B8D839C7384E}">
      <formula1>"Oui, Non"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cro3">
                <anchor moveWithCells="1">
                  <from>
                    <xdr:col>1</xdr:col>
                    <xdr:colOff>784860</xdr:colOff>
                    <xdr:row>44</xdr:row>
                    <xdr:rowOff>83820</xdr:rowOff>
                  </from>
                  <to>
                    <xdr:col>13</xdr:col>
                    <xdr:colOff>22860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130AE-D568-4031-A3A7-7497D61D2C02}">
  <sheetPr codeName="Feuil4"/>
  <dimension ref="A3:X93"/>
  <sheetViews>
    <sheetView showGridLines="0" tabSelected="1" zoomScale="25" zoomScaleNormal="55" workbookViewId="0">
      <selection activeCell="G4" sqref="G4"/>
    </sheetView>
  </sheetViews>
  <sheetFormatPr baseColWidth="10" defaultRowHeight="14.4" x14ac:dyDescent="0.3"/>
  <cols>
    <col min="1" max="1" width="11.5546875" customWidth="1"/>
    <col min="2" max="2" width="5.77734375" customWidth="1"/>
    <col min="3" max="3" width="50.77734375" customWidth="1"/>
    <col min="4" max="4" width="5.77734375" customWidth="1"/>
    <col min="6" max="6" width="5.77734375" customWidth="1"/>
    <col min="7" max="7" width="50.77734375" customWidth="1"/>
    <col min="8" max="8" width="5.77734375" customWidth="1"/>
    <col min="10" max="10" width="5.77734375" customWidth="1"/>
    <col min="11" max="11" width="50.77734375" customWidth="1"/>
    <col min="12" max="12" width="5.77734375" customWidth="1"/>
    <col min="14" max="14" width="5.77734375" customWidth="1"/>
    <col min="15" max="15" width="50.77734375" customWidth="1"/>
    <col min="16" max="16" width="5.77734375" customWidth="1"/>
    <col min="18" max="18" width="5.77734375" customWidth="1"/>
    <col min="19" max="19" width="50.77734375" customWidth="1"/>
    <col min="20" max="20" width="5.77734375" customWidth="1"/>
    <col min="22" max="22" width="5.77734375" customWidth="1"/>
    <col min="23" max="23" width="50.77734375" customWidth="1"/>
    <col min="24" max="24" width="5.77734375" customWidth="1"/>
  </cols>
  <sheetData>
    <row r="3" spans="1:24" ht="31.2" customHeight="1" x14ac:dyDescent="0.3">
      <c r="C3" s="20" t="s">
        <v>69</v>
      </c>
      <c r="G3" s="21">
        <v>1</v>
      </c>
      <c r="R3" s="22"/>
      <c r="S3" s="22"/>
      <c r="T3" s="22"/>
      <c r="U3" s="22"/>
      <c r="V3" s="22"/>
      <c r="W3" s="23"/>
      <c r="X3" s="23"/>
    </row>
    <row r="4" spans="1:24" ht="15" customHeight="1" x14ac:dyDescent="0.3">
      <c r="G4" t="s">
        <v>108</v>
      </c>
      <c r="R4" s="22"/>
      <c r="S4" s="22"/>
      <c r="T4" s="22"/>
      <c r="U4" s="22"/>
      <c r="V4" s="22"/>
      <c r="W4" s="23"/>
      <c r="X4" s="23"/>
    </row>
    <row r="5" spans="1:24" ht="30" customHeight="1" x14ac:dyDescent="0.3">
      <c r="C5" s="24" t="s">
        <v>46</v>
      </c>
      <c r="D5" s="25"/>
      <c r="E5" s="25"/>
      <c r="G5" s="26">
        <f>VLOOKUP(G3,'Base de données'!A1:AG5,1,FALSE)</f>
        <v>1</v>
      </c>
      <c r="R5" s="22"/>
      <c r="X5" s="23"/>
    </row>
    <row r="7" spans="1:24" ht="28.8" x14ac:dyDescent="0.3">
      <c r="C7" s="24" t="s">
        <v>44</v>
      </c>
      <c r="D7" s="25"/>
      <c r="E7" s="25"/>
      <c r="G7" s="26" t="str">
        <f>VLOOKUP(G3,'Base de données'!A1:AG5,2,FALSE)</f>
        <v>test1</v>
      </c>
    </row>
    <row r="9" spans="1:24" ht="28.8" x14ac:dyDescent="0.3">
      <c r="C9" s="24" t="s">
        <v>45</v>
      </c>
      <c r="D9" s="25"/>
      <c r="E9" s="25"/>
      <c r="G9" s="26" t="str">
        <f>VLOOKUP(G3,'Base de données'!A1:AG5,3,FALSE)</f>
        <v>U1</v>
      </c>
    </row>
    <row r="11" spans="1:24" ht="15" customHeight="1" x14ac:dyDescent="0.3">
      <c r="A11" s="18"/>
      <c r="B11" s="27"/>
      <c r="C11" s="53"/>
      <c r="D11" s="53"/>
      <c r="E11" s="53"/>
      <c r="F11" s="27"/>
      <c r="G11" s="27"/>
      <c r="H11" s="27"/>
      <c r="J11" s="27"/>
      <c r="K11" s="28"/>
      <c r="L11" s="28"/>
      <c r="M11" s="28"/>
      <c r="N11" s="27"/>
      <c r="O11" s="27"/>
      <c r="P11" s="27"/>
    </row>
    <row r="12" spans="1:24" s="36" customFormat="1" ht="25.05" customHeight="1" x14ac:dyDescent="0.3">
      <c r="B12" s="37"/>
      <c r="C12" s="54" t="s">
        <v>11</v>
      </c>
      <c r="D12" s="54"/>
      <c r="E12" s="54"/>
      <c r="F12" s="54"/>
      <c r="G12" s="54"/>
      <c r="H12" s="37"/>
      <c r="J12" s="37"/>
      <c r="K12" s="54" t="s">
        <v>48</v>
      </c>
      <c r="L12" s="54"/>
      <c r="M12" s="54"/>
      <c r="N12" s="54"/>
      <c r="O12" s="54"/>
      <c r="P12" s="37"/>
    </row>
    <row r="13" spans="1:24" ht="15" customHeight="1" x14ac:dyDescent="0.3">
      <c r="A13" s="18"/>
      <c r="B13" s="27"/>
      <c r="C13" s="27"/>
      <c r="D13" s="27"/>
      <c r="E13" s="29"/>
      <c r="F13" s="27"/>
      <c r="G13" s="27"/>
      <c r="H13" s="27"/>
      <c r="J13" s="27"/>
      <c r="K13" s="27"/>
      <c r="L13" s="27"/>
      <c r="M13" s="29"/>
      <c r="N13" s="27"/>
      <c r="O13" s="27"/>
      <c r="P13" s="27"/>
    </row>
    <row r="14" spans="1:24" ht="79.95" customHeight="1" x14ac:dyDescent="0.3">
      <c r="A14" s="18"/>
      <c r="B14" s="27"/>
      <c r="C14" s="30" t="s">
        <v>10</v>
      </c>
      <c r="D14" s="27"/>
      <c r="E14" s="31" t="str">
        <f>VLOOKUP(G3,'Base de données'!A1:AG5,4,FALSE)</f>
        <v>Oui</v>
      </c>
      <c r="F14" s="27"/>
      <c r="G14" s="32" t="s">
        <v>72</v>
      </c>
      <c r="H14" s="27"/>
      <c r="J14" s="27"/>
      <c r="K14" s="30" t="s">
        <v>47</v>
      </c>
      <c r="L14" s="27"/>
      <c r="M14" s="31" t="str">
        <f>VLOOKUP(G3,'Base de données'!A1:AG5,14,FALSE)</f>
        <v>Oui</v>
      </c>
      <c r="N14" s="27"/>
      <c r="O14" s="32" t="s">
        <v>80</v>
      </c>
      <c r="P14" s="27"/>
    </row>
    <row r="15" spans="1:24" ht="15" customHeight="1" x14ac:dyDescent="0.3">
      <c r="A15" s="18"/>
      <c r="B15" s="27"/>
      <c r="C15" s="27"/>
      <c r="D15" s="27"/>
      <c r="E15" s="29"/>
      <c r="F15" s="27"/>
      <c r="G15" s="27"/>
      <c r="H15" s="27"/>
      <c r="J15" s="27"/>
      <c r="K15" s="27"/>
      <c r="L15" s="27"/>
      <c r="M15" s="29"/>
      <c r="N15" s="27"/>
      <c r="O15" s="27"/>
      <c r="P15" s="27"/>
    </row>
    <row r="16" spans="1:24" ht="79.95" customHeight="1" x14ac:dyDescent="0.3">
      <c r="B16" s="27"/>
      <c r="C16" s="30" t="s">
        <v>14</v>
      </c>
      <c r="D16" s="27"/>
      <c r="E16" s="31" t="str">
        <f>VLOOKUP(G3,'Base de données'!A1:AG5,5,FALSE)</f>
        <v>Oui</v>
      </c>
      <c r="F16" s="27"/>
      <c r="G16" s="32" t="s">
        <v>73</v>
      </c>
      <c r="H16" s="27"/>
      <c r="J16" s="27"/>
      <c r="K16" s="30" t="s">
        <v>49</v>
      </c>
      <c r="L16" s="27"/>
      <c r="M16" s="31" t="str">
        <f>VLOOKUP(G3,'Base de données'!A1:AG5,15,FALSE)</f>
        <v>Oui</v>
      </c>
      <c r="N16" s="27"/>
      <c r="O16" s="32" t="s">
        <v>81</v>
      </c>
      <c r="P16" s="27"/>
    </row>
    <row r="17" spans="2:16" ht="15" customHeight="1" x14ac:dyDescent="0.3">
      <c r="B17" s="27"/>
      <c r="C17" s="27"/>
      <c r="D17" s="27"/>
      <c r="E17" s="29"/>
      <c r="F17" s="27"/>
      <c r="G17" s="27"/>
      <c r="H17" s="27"/>
      <c r="J17" s="27"/>
      <c r="K17" s="27"/>
      <c r="L17" s="27"/>
      <c r="M17" s="29"/>
      <c r="N17" s="27"/>
      <c r="O17" s="27"/>
      <c r="P17" s="27"/>
    </row>
    <row r="18" spans="2:16" ht="79.95" customHeight="1" x14ac:dyDescent="0.3">
      <c r="B18" s="27"/>
      <c r="C18" s="30" t="s">
        <v>12</v>
      </c>
      <c r="D18" s="27"/>
      <c r="E18" s="31" t="str">
        <f>VLOOKUP(G3,'Base de données'!A1:AG5,6,FALSE)</f>
        <v>Oui</v>
      </c>
      <c r="F18" s="27"/>
      <c r="G18" s="32" t="s">
        <v>74</v>
      </c>
      <c r="H18" s="27"/>
      <c r="J18" s="27"/>
      <c r="K18" s="30" t="s">
        <v>50</v>
      </c>
      <c r="L18" s="27"/>
      <c r="M18" s="31" t="str">
        <f>VLOOKUP(G3,'Base de données'!A1:AG5,16,FALSE)</f>
        <v>Oui</v>
      </c>
      <c r="N18" s="27"/>
      <c r="O18" s="32" t="s">
        <v>82</v>
      </c>
      <c r="P18" s="27"/>
    </row>
    <row r="19" spans="2:16" ht="15" customHeight="1" x14ac:dyDescent="0.3">
      <c r="B19" s="27"/>
      <c r="C19" s="27"/>
      <c r="D19" s="27"/>
      <c r="E19" s="27"/>
      <c r="F19" s="27"/>
      <c r="G19" s="27"/>
      <c r="H19" s="27"/>
      <c r="J19" s="27"/>
      <c r="K19" s="27"/>
      <c r="L19" s="27"/>
      <c r="M19" s="27"/>
      <c r="N19" s="27"/>
      <c r="O19" s="27"/>
      <c r="P19" s="27"/>
    </row>
    <row r="20" spans="2:16" ht="79.95" customHeight="1" x14ac:dyDescent="0.3">
      <c r="B20" s="27"/>
      <c r="C20" s="30" t="s">
        <v>13</v>
      </c>
      <c r="D20" s="27"/>
      <c r="E20" s="31" t="str">
        <f>VLOOKUP(G3,'Base de données'!A1:AG5,7,FALSE)</f>
        <v>Oui</v>
      </c>
      <c r="F20" s="27"/>
      <c r="G20" s="32" t="s">
        <v>75</v>
      </c>
      <c r="H20" s="27"/>
      <c r="J20" s="27"/>
      <c r="K20" s="30" t="s">
        <v>51</v>
      </c>
      <c r="L20" s="27"/>
      <c r="M20" s="31" t="str">
        <f>VLOOKUP(G3,'Base de données'!A1:AG5,17,FALSE)</f>
        <v>Oui</v>
      </c>
      <c r="N20" s="27"/>
      <c r="O20" s="32" t="s">
        <v>83</v>
      </c>
      <c r="P20" s="27"/>
    </row>
    <row r="21" spans="2:16" ht="15" customHeight="1" x14ac:dyDescent="0.3">
      <c r="B21" s="27"/>
      <c r="C21" s="27"/>
      <c r="D21" s="27"/>
      <c r="E21" s="27"/>
      <c r="F21" s="27"/>
      <c r="G21" s="27"/>
      <c r="H21" s="27"/>
      <c r="J21" s="27"/>
      <c r="K21" s="27"/>
      <c r="L21" s="27"/>
      <c r="M21" s="27"/>
      <c r="N21" s="27"/>
      <c r="O21" s="27"/>
      <c r="P21" s="27"/>
    </row>
    <row r="22" spans="2:16" ht="15" customHeight="1" x14ac:dyDescent="0.3">
      <c r="B22" s="27"/>
      <c r="C22" s="27"/>
      <c r="D22" s="27"/>
      <c r="E22" s="27"/>
      <c r="F22" s="27"/>
      <c r="G22" s="27"/>
      <c r="H22" s="27"/>
      <c r="J22" s="27"/>
      <c r="K22" s="27"/>
      <c r="L22" s="27"/>
      <c r="M22" s="27"/>
      <c r="N22" s="27"/>
      <c r="O22" s="27"/>
      <c r="P22" s="27"/>
    </row>
    <row r="24" spans="2:16" ht="15" customHeight="1" x14ac:dyDescent="0.3">
      <c r="B24" s="27"/>
      <c r="C24" s="28"/>
      <c r="D24" s="28"/>
      <c r="E24" s="28"/>
      <c r="F24" s="27"/>
      <c r="G24" s="27"/>
      <c r="H24" s="27"/>
      <c r="J24" s="27"/>
      <c r="K24" s="28"/>
      <c r="L24" s="28"/>
      <c r="M24" s="28"/>
      <c r="N24" s="27"/>
      <c r="O24" s="27"/>
      <c r="P24" s="27"/>
    </row>
    <row r="25" spans="2:16" s="36" customFormat="1" ht="25.05" customHeight="1" x14ac:dyDescent="0.3">
      <c r="B25" s="37"/>
      <c r="C25" s="54" t="s">
        <v>21</v>
      </c>
      <c r="D25" s="54"/>
      <c r="E25" s="54"/>
      <c r="F25" s="54"/>
      <c r="G25" s="54"/>
      <c r="H25" s="37"/>
      <c r="J25" s="37"/>
      <c r="K25" s="54" t="s">
        <v>52</v>
      </c>
      <c r="L25" s="54"/>
      <c r="M25" s="54"/>
      <c r="N25" s="54"/>
      <c r="O25" s="54"/>
      <c r="P25" s="37"/>
    </row>
    <row r="26" spans="2:16" ht="15" customHeight="1" x14ac:dyDescent="0.3">
      <c r="B26" s="27"/>
      <c r="C26" s="27"/>
      <c r="D26" s="27"/>
      <c r="E26" s="29"/>
      <c r="F26" s="27"/>
      <c r="G26" s="27"/>
      <c r="H26" s="27"/>
      <c r="J26" s="27"/>
      <c r="K26" s="27"/>
      <c r="L26" s="27"/>
      <c r="M26" s="29"/>
      <c r="N26" s="27"/>
      <c r="O26" s="27"/>
      <c r="P26" s="27"/>
    </row>
    <row r="27" spans="2:16" ht="79.95" customHeight="1" x14ac:dyDescent="0.3">
      <c r="B27" s="27"/>
      <c r="C27" s="30" t="s">
        <v>20</v>
      </c>
      <c r="D27" s="27"/>
      <c r="E27" s="31" t="str">
        <f>VLOOKUP(G3,'Base de données'!A1:AG5,9,FALSE)</f>
        <v>Oui</v>
      </c>
      <c r="F27" s="27"/>
      <c r="G27" s="32" t="s">
        <v>76</v>
      </c>
      <c r="H27" s="27"/>
      <c r="J27" s="27"/>
      <c r="K27" s="30" t="s">
        <v>53</v>
      </c>
      <c r="L27" s="27"/>
      <c r="M27" s="31" t="str">
        <f>VLOOKUP(G3,'Base de données'!A1:AG5,19,FALSE)</f>
        <v>Oui</v>
      </c>
      <c r="N27" s="27"/>
      <c r="O27" s="32" t="s">
        <v>84</v>
      </c>
      <c r="P27" s="27"/>
    </row>
    <row r="28" spans="2:16" ht="15" customHeight="1" x14ac:dyDescent="0.3">
      <c r="B28" s="27"/>
      <c r="C28" s="27"/>
      <c r="D28" s="27"/>
      <c r="E28" s="29"/>
      <c r="F28" s="27"/>
      <c r="G28" s="27"/>
      <c r="H28" s="27"/>
      <c r="J28" s="27"/>
      <c r="K28" s="27"/>
      <c r="L28" s="27"/>
      <c r="M28" s="29"/>
      <c r="N28" s="27"/>
      <c r="O28" s="27"/>
      <c r="P28" s="27"/>
    </row>
    <row r="29" spans="2:16" ht="79.95" customHeight="1" x14ac:dyDescent="0.3">
      <c r="B29" s="27"/>
      <c r="C29" s="30" t="s">
        <v>22</v>
      </c>
      <c r="D29" s="27"/>
      <c r="E29" s="31" t="str">
        <f>VLOOKUP(G3,'Base de données'!A1:AG5,10,FALSE)</f>
        <v>Oui</v>
      </c>
      <c r="F29" s="27"/>
      <c r="G29" s="32" t="s">
        <v>77</v>
      </c>
      <c r="H29" s="27"/>
      <c r="J29" s="27"/>
      <c r="K29" s="30" t="s">
        <v>54</v>
      </c>
      <c r="L29" s="27"/>
      <c r="M29" s="31" t="str">
        <f>VLOOKUP(G3,'Base de données'!A1:AG5,20,FALSE)</f>
        <v>Oui</v>
      </c>
      <c r="N29" s="27"/>
      <c r="O29" s="32" t="s">
        <v>85</v>
      </c>
      <c r="P29" s="27"/>
    </row>
    <row r="30" spans="2:16" ht="15" customHeight="1" x14ac:dyDescent="0.3">
      <c r="B30" s="27"/>
      <c r="C30" s="27"/>
      <c r="D30" s="27"/>
      <c r="E30" s="29"/>
      <c r="F30" s="27"/>
      <c r="G30" s="27"/>
      <c r="H30" s="27"/>
      <c r="J30" s="27"/>
      <c r="K30" s="27"/>
      <c r="L30" s="27"/>
      <c r="M30" s="29"/>
      <c r="N30" s="27"/>
      <c r="O30" s="27"/>
      <c r="P30" s="27"/>
    </row>
    <row r="31" spans="2:16" ht="79.95" customHeight="1" x14ac:dyDescent="0.3">
      <c r="B31" s="27"/>
      <c r="C31" s="30" t="s">
        <v>23</v>
      </c>
      <c r="D31" s="27"/>
      <c r="E31" s="31" t="str">
        <f>VLOOKUP(G3,'Base de données'!A1:AG5,11,FALSE)</f>
        <v>Oui</v>
      </c>
      <c r="F31" s="27"/>
      <c r="G31" s="32" t="s">
        <v>78</v>
      </c>
      <c r="H31" s="27"/>
      <c r="J31" s="27"/>
      <c r="K31" s="30" t="s">
        <v>55</v>
      </c>
      <c r="L31" s="27"/>
      <c r="M31" s="31" t="str">
        <f>VLOOKUP(G3,'Base de données'!A1:AG5,21,FALSE)</f>
        <v>Oui</v>
      </c>
      <c r="N31" s="27"/>
      <c r="O31" s="32" t="s">
        <v>86</v>
      </c>
      <c r="P31" s="27"/>
    </row>
    <row r="32" spans="2:16" ht="15" customHeight="1" x14ac:dyDescent="0.3">
      <c r="B32" s="27"/>
      <c r="C32" s="27"/>
      <c r="D32" s="27"/>
      <c r="E32" s="27"/>
      <c r="F32" s="27"/>
      <c r="G32" s="27"/>
      <c r="H32" s="27"/>
      <c r="J32" s="27"/>
      <c r="K32" s="27"/>
      <c r="L32" s="27"/>
      <c r="M32" s="27"/>
      <c r="N32" s="27"/>
      <c r="O32" s="27"/>
      <c r="P32" s="27"/>
    </row>
    <row r="33" spans="2:19" ht="79.95" customHeight="1" x14ac:dyDescent="0.3">
      <c r="B33" s="27"/>
      <c r="C33" s="30" t="s">
        <v>24</v>
      </c>
      <c r="D33" s="27"/>
      <c r="E33" s="31" t="str">
        <f>VLOOKUP(G3,'Base de données'!A1:AG5,12,FALSE)</f>
        <v>Oui</v>
      </c>
      <c r="F33" s="27"/>
      <c r="G33" s="32" t="s">
        <v>79</v>
      </c>
      <c r="H33" s="27"/>
      <c r="J33" s="27"/>
      <c r="K33" s="30" t="s">
        <v>56</v>
      </c>
      <c r="L33" s="27"/>
      <c r="M33" s="31" t="str">
        <f>VLOOKUP(G3,'Base de données'!A1:AG5,22,FALSE)</f>
        <v>Oui</v>
      </c>
      <c r="N33" s="27"/>
      <c r="O33" s="32" t="s">
        <v>87</v>
      </c>
      <c r="P33" s="27"/>
    </row>
    <row r="34" spans="2:19" ht="15" customHeight="1" x14ac:dyDescent="0.3">
      <c r="B34" s="27"/>
      <c r="C34" s="27"/>
      <c r="D34" s="27"/>
      <c r="E34" s="27"/>
      <c r="F34" s="27"/>
      <c r="G34" s="27"/>
      <c r="H34" s="27"/>
      <c r="J34" s="27"/>
      <c r="K34" s="27"/>
      <c r="L34" s="27"/>
      <c r="M34" s="27"/>
      <c r="N34" s="27"/>
      <c r="O34" s="27"/>
      <c r="P34" s="27"/>
    </row>
    <row r="35" spans="2:19" ht="15" customHeight="1" x14ac:dyDescent="0.3">
      <c r="B35" s="27"/>
      <c r="C35" s="27"/>
      <c r="D35" s="27"/>
      <c r="E35" s="27"/>
      <c r="F35" s="27"/>
      <c r="G35" s="27"/>
      <c r="H35" s="27"/>
      <c r="J35" s="27"/>
      <c r="K35" s="27"/>
      <c r="L35" s="27"/>
      <c r="M35" s="27"/>
      <c r="N35" s="27"/>
      <c r="O35" s="27"/>
      <c r="P35" s="27"/>
    </row>
    <row r="36" spans="2:19" x14ac:dyDescent="0.3">
      <c r="S36" s="35"/>
    </row>
    <row r="37" spans="2:19" ht="15" customHeight="1" x14ac:dyDescent="0.3">
      <c r="B37" s="27"/>
      <c r="C37" s="28"/>
      <c r="D37" s="28"/>
      <c r="E37" s="28"/>
      <c r="F37" s="27"/>
      <c r="G37" s="27"/>
      <c r="H37" s="27"/>
      <c r="J37" s="27"/>
      <c r="K37" s="28"/>
      <c r="L37" s="28"/>
      <c r="M37" s="28"/>
      <c r="N37" s="27"/>
      <c r="O37" s="27"/>
      <c r="P37" s="27"/>
      <c r="S37" s="35"/>
    </row>
    <row r="38" spans="2:19" s="36" customFormat="1" ht="25.05" customHeight="1" x14ac:dyDescent="0.3">
      <c r="B38" s="37"/>
      <c r="C38" s="54" t="s">
        <v>61</v>
      </c>
      <c r="D38" s="54"/>
      <c r="E38" s="54"/>
      <c r="F38" s="54"/>
      <c r="G38" s="54"/>
      <c r="H38" s="37"/>
      <c r="J38" s="37"/>
      <c r="K38" s="54" t="s">
        <v>66</v>
      </c>
      <c r="L38" s="54"/>
      <c r="M38" s="54"/>
      <c r="N38" s="54"/>
      <c r="O38" s="54"/>
      <c r="P38" s="37"/>
      <c r="S38" s="39"/>
    </row>
    <row r="39" spans="2:19" ht="15" customHeight="1" x14ac:dyDescent="0.3">
      <c r="B39" s="27"/>
      <c r="C39" s="27"/>
      <c r="D39" s="27"/>
      <c r="E39" s="29"/>
      <c r="F39" s="27"/>
      <c r="G39" s="27"/>
      <c r="H39" s="27"/>
      <c r="J39" s="27"/>
      <c r="K39" s="27"/>
      <c r="L39" s="27"/>
      <c r="M39" s="29"/>
      <c r="N39" s="27"/>
      <c r="O39" s="27"/>
      <c r="P39" s="27"/>
      <c r="S39" s="35"/>
    </row>
    <row r="40" spans="2:19" ht="79.95" customHeight="1" x14ac:dyDescent="0.3">
      <c r="B40" s="27"/>
      <c r="C40" s="30" t="s">
        <v>57</v>
      </c>
      <c r="D40" s="27"/>
      <c r="E40" s="31" t="str">
        <f>VLOOKUP(G3,'Base de données'!A1:AG5,24,FALSE)</f>
        <v>Oui</v>
      </c>
      <c r="F40" s="27"/>
      <c r="G40" s="32" t="s">
        <v>88</v>
      </c>
      <c r="H40" s="27"/>
      <c r="J40" s="27"/>
      <c r="K40" s="30" t="s">
        <v>62</v>
      </c>
      <c r="L40" s="27"/>
      <c r="M40" s="31" t="str">
        <f>VLOOKUP(G3,'Base de données'!A1:AG5,29,FALSE)</f>
        <v>Oui</v>
      </c>
      <c r="N40" s="27"/>
      <c r="O40" s="32" t="s">
        <v>92</v>
      </c>
      <c r="P40" s="27"/>
      <c r="S40" s="35"/>
    </row>
    <row r="41" spans="2:19" ht="15" customHeight="1" x14ac:dyDescent="0.3">
      <c r="B41" s="27"/>
      <c r="C41" s="27"/>
      <c r="D41" s="27"/>
      <c r="E41" s="29"/>
      <c r="F41" s="27"/>
      <c r="G41" s="27"/>
      <c r="H41" s="27"/>
      <c r="J41" s="27"/>
      <c r="K41" s="27"/>
      <c r="L41" s="27"/>
      <c r="M41" s="29"/>
      <c r="N41" s="27"/>
      <c r="O41" s="27"/>
      <c r="P41" s="27"/>
      <c r="S41" s="35"/>
    </row>
    <row r="42" spans="2:19" ht="79.95" customHeight="1" x14ac:dyDescent="0.3">
      <c r="B42" s="27"/>
      <c r="C42" s="30" t="s">
        <v>58</v>
      </c>
      <c r="D42" s="27"/>
      <c r="E42" s="31" t="str">
        <f>VLOOKUP(G3,'Base de données'!A1:AG5,25,FALSE)</f>
        <v>Oui</v>
      </c>
      <c r="F42" s="27"/>
      <c r="G42" s="32" t="s">
        <v>89</v>
      </c>
      <c r="H42" s="27"/>
      <c r="J42" s="27"/>
      <c r="K42" s="30" t="s">
        <v>63</v>
      </c>
      <c r="L42" s="27"/>
      <c r="M42" s="31" t="str">
        <f>VLOOKUP(G3,'Base de données'!A1:AG5,30,FALSE)</f>
        <v>Oui</v>
      </c>
      <c r="N42" s="27"/>
      <c r="O42" s="32" t="s">
        <v>93</v>
      </c>
      <c r="P42" s="27"/>
      <c r="S42" s="35"/>
    </row>
    <row r="43" spans="2:19" ht="15" customHeight="1" x14ac:dyDescent="0.3">
      <c r="B43" s="27"/>
      <c r="C43" s="27"/>
      <c r="D43" s="27"/>
      <c r="E43" s="29"/>
      <c r="F43" s="27"/>
      <c r="G43" s="27"/>
      <c r="H43" s="27"/>
      <c r="J43" s="27"/>
      <c r="K43" s="27"/>
      <c r="L43" s="27"/>
      <c r="M43" s="29"/>
      <c r="N43" s="27"/>
      <c r="O43" s="27"/>
      <c r="P43" s="27"/>
      <c r="S43" s="35"/>
    </row>
    <row r="44" spans="2:19" ht="79.95" customHeight="1" x14ac:dyDescent="0.3">
      <c r="B44" s="27"/>
      <c r="C44" s="30" t="s">
        <v>59</v>
      </c>
      <c r="D44" s="27"/>
      <c r="E44" s="31" t="str">
        <f>VLOOKUP(G3,'Base de données'!A1:AG5,26,FALSE)</f>
        <v>Oui</v>
      </c>
      <c r="F44" s="27"/>
      <c r="G44" s="32" t="s">
        <v>90</v>
      </c>
      <c r="H44" s="27"/>
      <c r="J44" s="27"/>
      <c r="K44" s="30" t="s">
        <v>64</v>
      </c>
      <c r="L44" s="27"/>
      <c r="M44" s="31" t="str">
        <f>VLOOKUP(G3,'Base de données'!A1:AG5,31,FALSE)</f>
        <v>Oui</v>
      </c>
      <c r="N44" s="27"/>
      <c r="O44" s="32" t="s">
        <v>94</v>
      </c>
      <c r="P44" s="27"/>
      <c r="S44" s="35"/>
    </row>
    <row r="45" spans="2:19" ht="15" customHeight="1" x14ac:dyDescent="0.3">
      <c r="B45" s="27"/>
      <c r="C45" s="27"/>
      <c r="D45" s="27"/>
      <c r="E45" s="27"/>
      <c r="F45" s="27"/>
      <c r="G45" s="27"/>
      <c r="H45" s="27"/>
      <c r="J45" s="27"/>
      <c r="K45" s="27"/>
      <c r="L45" s="27"/>
      <c r="M45" s="27"/>
      <c r="N45" s="27"/>
      <c r="O45" s="27"/>
      <c r="P45" s="27"/>
      <c r="S45" s="35"/>
    </row>
    <row r="46" spans="2:19" ht="79.95" customHeight="1" x14ac:dyDescent="0.3">
      <c r="B46" s="27"/>
      <c r="C46" s="30" t="s">
        <v>60</v>
      </c>
      <c r="D46" s="27"/>
      <c r="E46" s="31" t="str">
        <f>VLOOKUP(G3,'Base de données'!A1:AG5,27,FALSE)</f>
        <v>Oui</v>
      </c>
      <c r="F46" s="27"/>
      <c r="G46" s="32" t="s">
        <v>91</v>
      </c>
      <c r="H46" s="27"/>
      <c r="J46" s="27"/>
      <c r="K46" s="33" t="s">
        <v>65</v>
      </c>
      <c r="L46" s="27"/>
      <c r="M46" s="31" t="str">
        <f>VLOOKUP(G3,'Base de données'!A1:AG5,32,FALSE)</f>
        <v>Oui</v>
      </c>
      <c r="N46" s="27"/>
      <c r="O46" s="32" t="s">
        <v>95</v>
      </c>
      <c r="P46" s="27"/>
      <c r="S46" s="35"/>
    </row>
    <row r="47" spans="2:19" ht="15" customHeight="1" x14ac:dyDescent="0.3">
      <c r="B47" s="27"/>
      <c r="C47" s="27"/>
      <c r="D47" s="27"/>
      <c r="E47" s="27"/>
      <c r="F47" s="27"/>
      <c r="G47" s="27"/>
      <c r="H47" s="27"/>
      <c r="J47" s="27"/>
      <c r="K47" s="34"/>
      <c r="L47" s="27"/>
      <c r="M47" s="27"/>
      <c r="N47" s="27"/>
      <c r="O47" s="27"/>
      <c r="P47" s="27"/>
      <c r="S47" s="35"/>
    </row>
    <row r="48" spans="2:19" ht="15" customHeight="1" x14ac:dyDescent="0.3">
      <c r="B48" s="27"/>
      <c r="C48" s="27"/>
      <c r="D48" s="27"/>
      <c r="E48" s="27"/>
      <c r="F48" s="27"/>
      <c r="G48" s="27"/>
      <c r="H48" s="27"/>
      <c r="J48" s="27"/>
      <c r="K48" s="34"/>
      <c r="L48" s="27"/>
      <c r="M48" s="27"/>
      <c r="N48" s="27"/>
      <c r="O48" s="27"/>
      <c r="P48" s="27"/>
      <c r="S48" s="35"/>
    </row>
    <row r="49" spans="2:19" ht="15" customHeight="1" x14ac:dyDescent="0.3">
      <c r="S49" s="35"/>
    </row>
    <row r="50" spans="2:19" ht="15" customHeight="1" x14ac:dyDescent="0.3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S50" s="35"/>
    </row>
    <row r="51" spans="2:19" s="36" customFormat="1" ht="25.05" customHeight="1" x14ac:dyDescent="0.3">
      <c r="B51" s="11"/>
      <c r="C51" s="56" t="s">
        <v>71</v>
      </c>
      <c r="D51" s="56"/>
      <c r="E51" s="56"/>
      <c r="F51" s="56"/>
      <c r="G51" s="56"/>
      <c r="H51" s="40"/>
      <c r="I51" s="38"/>
      <c r="J51" s="38"/>
      <c r="K51" s="38"/>
      <c r="L51" s="38"/>
      <c r="M51" s="38"/>
      <c r="N51" s="38"/>
      <c r="O51" s="38"/>
      <c r="P51" s="38"/>
      <c r="S51" s="39"/>
    </row>
    <row r="52" spans="2:19" ht="15" customHeight="1" x14ac:dyDescent="0.3">
      <c r="B52" s="11"/>
      <c r="C52" s="12"/>
      <c r="D52" s="12"/>
      <c r="E52" s="12"/>
      <c r="F52" s="12"/>
      <c r="G52" s="12"/>
      <c r="H52" s="12"/>
      <c r="I52" s="11"/>
      <c r="J52" s="11"/>
      <c r="K52" s="11"/>
      <c r="L52" s="11"/>
      <c r="M52" s="11"/>
      <c r="N52" s="11"/>
      <c r="O52" s="11"/>
      <c r="P52" s="11"/>
      <c r="S52" s="35"/>
    </row>
    <row r="53" spans="2:19" ht="30" customHeight="1" x14ac:dyDescent="0.3">
      <c r="B53" s="38"/>
      <c r="C53" s="55" t="s">
        <v>70</v>
      </c>
      <c r="D53" s="55"/>
      <c r="E53" s="55"/>
      <c r="F53" s="38"/>
      <c r="G53" s="14">
        <f>VLOOKUP(G3,'Base de données'!A1:AG5,8,FALSE)</f>
        <v>0</v>
      </c>
      <c r="H53" s="38"/>
      <c r="I53" s="11"/>
      <c r="J53" s="11"/>
      <c r="K53" s="11"/>
      <c r="L53" s="11"/>
      <c r="M53" s="11"/>
      <c r="N53" s="11"/>
      <c r="O53" s="11"/>
      <c r="P53" s="11"/>
      <c r="S53" s="35"/>
    </row>
    <row r="54" spans="2:19" ht="15" customHeight="1" x14ac:dyDescent="0.5">
      <c r="B54" s="11"/>
      <c r="C54" s="13"/>
      <c r="D54" s="43"/>
      <c r="E54" s="11"/>
      <c r="F54" s="11"/>
      <c r="G54" s="13"/>
      <c r="H54" s="11"/>
      <c r="I54" s="11"/>
      <c r="J54" s="11"/>
      <c r="K54" s="11"/>
      <c r="L54" s="11"/>
      <c r="M54" s="11"/>
      <c r="N54" s="11"/>
      <c r="O54" s="11"/>
      <c r="P54" s="11"/>
    </row>
    <row r="55" spans="2:19" ht="30" customHeight="1" x14ac:dyDescent="0.3">
      <c r="B55" s="11"/>
      <c r="C55" s="55" t="s">
        <v>21</v>
      </c>
      <c r="D55" s="55"/>
      <c r="E55" s="55"/>
      <c r="F55" s="11"/>
      <c r="G55" s="14">
        <f>VLOOKUP(G3,'Base de données'!A1:AG5,13,FALSE)</f>
        <v>0</v>
      </c>
      <c r="H55" s="11"/>
      <c r="I55" s="11"/>
      <c r="J55" s="11"/>
      <c r="K55" s="11"/>
      <c r="L55" s="11"/>
      <c r="M55" s="11"/>
      <c r="N55" s="11"/>
      <c r="O55" s="11"/>
      <c r="P55" s="11"/>
    </row>
    <row r="56" spans="2:19" ht="15" customHeight="1" x14ac:dyDescent="0.5">
      <c r="B56" s="11"/>
      <c r="C56" s="13"/>
      <c r="D56" s="43"/>
      <c r="E56" s="11"/>
      <c r="F56" s="11"/>
      <c r="G56" s="13"/>
      <c r="H56" s="11"/>
      <c r="I56" s="11"/>
      <c r="J56" s="11"/>
      <c r="K56" s="11"/>
      <c r="L56" s="11"/>
      <c r="M56" s="11"/>
      <c r="N56" s="11"/>
      <c r="O56" s="11"/>
      <c r="P56" s="11"/>
    </row>
    <row r="57" spans="2:19" ht="30" customHeight="1" x14ac:dyDescent="0.3">
      <c r="B57" s="11"/>
      <c r="C57" s="55" t="s">
        <v>48</v>
      </c>
      <c r="D57" s="55"/>
      <c r="E57" s="55"/>
      <c r="F57" s="11"/>
      <c r="G57" s="14">
        <f>VLOOKUP(G3,'Base de données'!A1:AG5,18,FALSE)</f>
        <v>1</v>
      </c>
      <c r="H57" s="11"/>
      <c r="I57" s="11"/>
      <c r="J57" s="11"/>
      <c r="K57" s="11"/>
      <c r="L57" s="11"/>
      <c r="M57" s="11"/>
      <c r="N57" s="11"/>
      <c r="O57" s="11"/>
      <c r="P57" s="11"/>
    </row>
    <row r="58" spans="2:19" ht="15" customHeight="1" x14ac:dyDescent="0.5">
      <c r="B58" s="11"/>
      <c r="C58" s="13"/>
      <c r="D58" s="43"/>
      <c r="E58" s="11"/>
      <c r="F58" s="11"/>
      <c r="G58" s="13"/>
      <c r="H58" s="11"/>
      <c r="I58" s="11"/>
      <c r="J58" s="11"/>
      <c r="K58" s="11"/>
      <c r="L58" s="11"/>
      <c r="M58" s="11"/>
      <c r="N58" s="11"/>
      <c r="O58" s="11"/>
      <c r="P58" s="11"/>
    </row>
    <row r="59" spans="2:19" ht="30" customHeight="1" x14ac:dyDescent="0.3">
      <c r="B59" s="11"/>
      <c r="C59" s="55" t="s">
        <v>52</v>
      </c>
      <c r="D59" s="55"/>
      <c r="E59" s="55"/>
      <c r="F59" s="11"/>
      <c r="G59" s="14">
        <f>VLOOKUP(G3,'Base de données'!A1:AG5,23,FALSE)</f>
        <v>1</v>
      </c>
      <c r="H59" s="11"/>
      <c r="I59" s="11"/>
      <c r="J59" s="11"/>
      <c r="K59" s="11"/>
      <c r="L59" s="11"/>
      <c r="M59" s="11"/>
      <c r="N59" s="11"/>
      <c r="O59" s="11"/>
      <c r="P59" s="11"/>
    </row>
    <row r="60" spans="2:19" ht="15" customHeight="1" x14ac:dyDescent="0.5">
      <c r="B60" s="11"/>
      <c r="C60" s="13"/>
      <c r="D60" s="43"/>
      <c r="E60" s="11"/>
      <c r="F60" s="11"/>
      <c r="G60" s="13"/>
      <c r="H60" s="11"/>
      <c r="I60" s="11"/>
      <c r="J60" s="11"/>
      <c r="K60" s="11"/>
      <c r="L60" s="11"/>
      <c r="M60" s="11"/>
      <c r="N60" s="11"/>
      <c r="O60" s="11"/>
      <c r="P60" s="11"/>
    </row>
    <row r="61" spans="2:19" ht="30" customHeight="1" x14ac:dyDescent="0.3">
      <c r="B61" s="11"/>
      <c r="C61" s="55" t="s">
        <v>61</v>
      </c>
      <c r="D61" s="55"/>
      <c r="E61" s="55"/>
      <c r="F61" s="11"/>
      <c r="G61" s="14">
        <f>VLOOKUP(G3,'Base de données'!A1:AG5,28,FALSE)</f>
        <v>0</v>
      </c>
      <c r="H61" s="11"/>
      <c r="I61" s="11"/>
      <c r="J61" s="11"/>
      <c r="K61" s="11"/>
      <c r="L61" s="11"/>
      <c r="M61" s="11"/>
      <c r="N61" s="11"/>
      <c r="O61" s="11"/>
      <c r="P61" s="11"/>
    </row>
    <row r="62" spans="2:19" ht="15" customHeight="1" x14ac:dyDescent="0.5">
      <c r="B62" s="11"/>
      <c r="C62" s="13"/>
      <c r="D62" s="43"/>
      <c r="E62" s="11"/>
      <c r="F62" s="11"/>
      <c r="G62" s="13"/>
      <c r="H62" s="11"/>
      <c r="I62" s="11"/>
      <c r="J62" s="11"/>
      <c r="K62" s="11"/>
      <c r="L62" s="11"/>
      <c r="M62" s="11"/>
      <c r="N62" s="11"/>
      <c r="O62" s="11"/>
      <c r="P62" s="11"/>
    </row>
    <row r="63" spans="2:19" ht="30" customHeight="1" x14ac:dyDescent="0.3">
      <c r="B63" s="11"/>
      <c r="C63" s="55" t="s">
        <v>66</v>
      </c>
      <c r="D63" s="55"/>
      <c r="E63" s="55"/>
      <c r="F63" s="11"/>
      <c r="G63" s="14">
        <f>VLOOKUP(G3,'Base de données'!A1:AG5,33,FALSE)</f>
        <v>0</v>
      </c>
      <c r="H63" s="11"/>
      <c r="I63" s="11"/>
      <c r="J63" s="11"/>
      <c r="K63" s="11"/>
      <c r="L63" s="11"/>
      <c r="M63" s="11"/>
      <c r="N63" s="11"/>
      <c r="O63" s="11"/>
      <c r="P63" s="11"/>
    </row>
    <row r="64" spans="2:19" s="36" customFormat="1" ht="25.05" customHeight="1" x14ac:dyDescent="0.3">
      <c r="B64" s="11"/>
      <c r="C64" s="13"/>
      <c r="D64" s="11"/>
      <c r="E64" s="13"/>
      <c r="F64" s="11"/>
      <c r="G64" s="11"/>
      <c r="H64" s="11"/>
      <c r="I64" s="38"/>
      <c r="J64" s="38"/>
      <c r="K64" s="38"/>
      <c r="L64" s="38"/>
      <c r="M64" s="38"/>
      <c r="N64" s="38"/>
      <c r="O64" s="38"/>
      <c r="P64" s="38"/>
    </row>
    <row r="65" ht="15" customHeight="1" x14ac:dyDescent="0.3"/>
    <row r="66" ht="79.95" customHeight="1" x14ac:dyDescent="0.3"/>
    <row r="67" ht="15" customHeight="1" x14ac:dyDescent="0.3"/>
    <row r="68" ht="79.95" customHeight="1" x14ac:dyDescent="0.3"/>
    <row r="69" ht="15" customHeight="1" x14ac:dyDescent="0.3"/>
    <row r="70" ht="79.95" customHeight="1" x14ac:dyDescent="0.3"/>
    <row r="71" ht="15" customHeight="1" x14ac:dyDescent="0.3"/>
    <row r="72" ht="79.95" customHeight="1" x14ac:dyDescent="0.3"/>
    <row r="73" ht="15" customHeight="1" x14ac:dyDescent="0.3"/>
    <row r="74" ht="15" customHeight="1" x14ac:dyDescent="0.3"/>
    <row r="76" ht="15" customHeight="1" x14ac:dyDescent="0.3"/>
    <row r="77" s="36" customFormat="1" ht="25.05" customHeight="1" x14ac:dyDescent="0.3"/>
    <row r="78" ht="15" customHeight="1" x14ac:dyDescent="0.3"/>
    <row r="79" ht="79.95" customHeight="1" x14ac:dyDescent="0.3"/>
    <row r="80" ht="15" customHeight="1" x14ac:dyDescent="0.3"/>
    <row r="81" spans="9:12" ht="79.95" customHeight="1" x14ac:dyDescent="0.3"/>
    <row r="82" spans="9:12" ht="15" customHeight="1" x14ac:dyDescent="0.3"/>
    <row r="83" spans="9:12" ht="79.95" customHeight="1" x14ac:dyDescent="0.3"/>
    <row r="84" spans="9:12" ht="15" customHeight="1" x14ac:dyDescent="0.3"/>
    <row r="85" spans="9:12" ht="79.95" customHeight="1" x14ac:dyDescent="0.3"/>
    <row r="86" spans="9:12" ht="15" customHeight="1" x14ac:dyDescent="0.3"/>
    <row r="87" spans="9:12" ht="15" customHeight="1" x14ac:dyDescent="0.3"/>
    <row r="90" spans="9:12" ht="15" customHeight="1" x14ac:dyDescent="0.3"/>
    <row r="91" spans="9:12" ht="31.2" x14ac:dyDescent="0.3">
      <c r="I91" s="41"/>
      <c r="J91" s="41"/>
      <c r="K91" s="41"/>
    </row>
    <row r="92" spans="9:12" ht="15" customHeight="1" x14ac:dyDescent="0.3">
      <c r="I92" s="42"/>
      <c r="J92" s="42"/>
      <c r="K92" s="42"/>
    </row>
    <row r="93" spans="9:12" ht="28.8" x14ac:dyDescent="0.3">
      <c r="I93" s="36"/>
      <c r="J93" s="36"/>
      <c r="K93" s="36"/>
      <c r="L93" s="36"/>
    </row>
  </sheetData>
  <sheetProtection selectLockedCells="1"/>
  <mergeCells count="14">
    <mergeCell ref="C61:E61"/>
    <mergeCell ref="C63:E63"/>
    <mergeCell ref="K38:O38"/>
    <mergeCell ref="C51:G51"/>
    <mergeCell ref="C53:E53"/>
    <mergeCell ref="C55:E55"/>
    <mergeCell ref="C57:E57"/>
    <mergeCell ref="C59:E59"/>
    <mergeCell ref="C38:G38"/>
    <mergeCell ref="C11:E11"/>
    <mergeCell ref="C12:G12"/>
    <mergeCell ref="C25:G25"/>
    <mergeCell ref="K12:O12"/>
    <mergeCell ref="K25:O25"/>
  </mergeCells>
  <conditionalFormatting sqref="G14">
    <cfRule type="expression" dxfId="23" priority="24">
      <formula>$E$14="Oui"</formula>
    </cfRule>
  </conditionalFormatting>
  <conditionalFormatting sqref="G16">
    <cfRule type="expression" dxfId="22" priority="23">
      <formula>$E$16="Oui"</formula>
    </cfRule>
  </conditionalFormatting>
  <conditionalFormatting sqref="G18">
    <cfRule type="expression" dxfId="21" priority="22">
      <formula>$E$18="Oui"</formula>
    </cfRule>
  </conditionalFormatting>
  <conditionalFormatting sqref="G20">
    <cfRule type="expression" dxfId="20" priority="21">
      <formula>$E$20="Oui"</formula>
    </cfRule>
  </conditionalFormatting>
  <conditionalFormatting sqref="G27">
    <cfRule type="expression" dxfId="19" priority="20">
      <formula>$E$27="Oui"</formula>
    </cfRule>
  </conditionalFormatting>
  <conditionalFormatting sqref="G29">
    <cfRule type="expression" dxfId="18" priority="19">
      <formula>$E$29="Oui"</formula>
    </cfRule>
  </conditionalFormatting>
  <conditionalFormatting sqref="G31">
    <cfRule type="expression" dxfId="17" priority="18">
      <formula>$E$31="Oui"</formula>
    </cfRule>
  </conditionalFormatting>
  <conditionalFormatting sqref="G33">
    <cfRule type="expression" dxfId="16" priority="17">
      <formula>$E$33="Oui"</formula>
    </cfRule>
  </conditionalFormatting>
  <conditionalFormatting sqref="O33">
    <cfRule type="expression" dxfId="15" priority="16">
      <formula>$M$33="Non"</formula>
    </cfRule>
  </conditionalFormatting>
  <conditionalFormatting sqref="O14">
    <cfRule type="expression" dxfId="14" priority="15">
      <formula>$M$14="Oui"</formula>
    </cfRule>
  </conditionalFormatting>
  <conditionalFormatting sqref="O16">
    <cfRule type="expression" dxfId="13" priority="14">
      <formula>$M$16="Oui"</formula>
    </cfRule>
  </conditionalFormatting>
  <conditionalFormatting sqref="O18">
    <cfRule type="expression" dxfId="12" priority="13">
      <formula>$M$18="Oui"</formula>
    </cfRule>
  </conditionalFormatting>
  <conditionalFormatting sqref="O27">
    <cfRule type="expression" dxfId="11" priority="12">
      <formula>$M$27="Oui"</formula>
    </cfRule>
  </conditionalFormatting>
  <conditionalFormatting sqref="O29">
    <cfRule type="expression" dxfId="10" priority="11">
      <formula>$M$29="Oui"</formula>
    </cfRule>
  </conditionalFormatting>
  <conditionalFormatting sqref="O31">
    <cfRule type="expression" dxfId="9" priority="10">
      <formula>$M$31="Oui"</formula>
    </cfRule>
  </conditionalFormatting>
  <conditionalFormatting sqref="G40">
    <cfRule type="expression" dxfId="8" priority="9">
      <formula>$E$40="Oui"</formula>
    </cfRule>
  </conditionalFormatting>
  <conditionalFormatting sqref="G42">
    <cfRule type="expression" dxfId="7" priority="8">
      <formula>$E$42="Oui"</formula>
    </cfRule>
  </conditionalFormatting>
  <conditionalFormatting sqref="G44">
    <cfRule type="expression" dxfId="6" priority="7">
      <formula>$E$44="Oui"</formula>
    </cfRule>
  </conditionalFormatting>
  <conditionalFormatting sqref="G46">
    <cfRule type="expression" dxfId="5" priority="6">
      <formula>$E$46="Oui"</formula>
    </cfRule>
  </conditionalFormatting>
  <conditionalFormatting sqref="O40">
    <cfRule type="expression" dxfId="4" priority="5">
      <formula>$M$40="Oui"</formula>
    </cfRule>
  </conditionalFormatting>
  <conditionalFormatting sqref="O42">
    <cfRule type="expression" dxfId="3" priority="4">
      <formula>$M$42="Oui"</formula>
    </cfRule>
  </conditionalFormatting>
  <conditionalFormatting sqref="O44">
    <cfRule type="expression" dxfId="2" priority="3">
      <formula>$M$44="Oui"</formula>
    </cfRule>
  </conditionalFormatting>
  <conditionalFormatting sqref="O46">
    <cfRule type="expression" dxfId="1" priority="2">
      <formula>$M$46="Oui"</formula>
    </cfRule>
  </conditionalFormatting>
  <conditionalFormatting sqref="O20">
    <cfRule type="expression" dxfId="0" priority="1">
      <formula>$M$20="Non"</formula>
    </cfRule>
  </conditionalFormatting>
  <dataValidations disablePrompts="1" count="1">
    <dataValidation showDropDown="1" showInputMessage="1" showErrorMessage="1" sqref="E14 E16 E18 E20 E27 E29 E31 E33 M27 M29 M31 M33 M14 M16 M18 M20 E40 E42 E44 E46 M40 M42 M44 M46" xr:uid="{5E91470F-12C6-45C1-9835-79EE8A47F7DB}"/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A2B69-12EF-42E9-8CA4-48F27249E012}">
  <sheetPr codeName="Feuil2"/>
  <dimension ref="A2:AG9"/>
  <sheetViews>
    <sheetView workbookViewId="0">
      <selection activeCell="A3" sqref="A3:XFD6"/>
    </sheetView>
  </sheetViews>
  <sheetFormatPr baseColWidth="10" defaultRowHeight="14.4" x14ac:dyDescent="0.3"/>
  <cols>
    <col min="1" max="1" width="12.109375" bestFit="1" customWidth="1"/>
    <col min="2" max="2" width="14.44140625" bestFit="1" customWidth="1"/>
    <col min="3" max="3" width="14.21875" bestFit="1" customWidth="1"/>
    <col min="4" max="7" width="5.44140625" bestFit="1" customWidth="1"/>
    <col min="8" max="8" width="3.109375" bestFit="1" customWidth="1"/>
    <col min="9" max="12" width="5.44140625" bestFit="1" customWidth="1"/>
    <col min="13" max="13" width="3.109375" bestFit="1" customWidth="1"/>
    <col min="14" max="17" width="5.44140625" bestFit="1" customWidth="1"/>
    <col min="18" max="18" width="3.109375" bestFit="1" customWidth="1"/>
    <col min="19" max="22" width="5.44140625" bestFit="1" customWidth="1"/>
    <col min="23" max="23" width="3.109375" bestFit="1" customWidth="1"/>
    <col min="24" max="27" width="5.44140625" bestFit="1" customWidth="1"/>
    <col min="28" max="28" width="3.109375" bestFit="1" customWidth="1"/>
    <col min="29" max="32" width="5.44140625" bestFit="1" customWidth="1"/>
    <col min="33" max="33" width="3.109375" bestFit="1" customWidth="1"/>
  </cols>
  <sheetData>
    <row r="2" spans="1:33" ht="15" customHeight="1" x14ac:dyDescent="0.3">
      <c r="A2" s="57" t="s">
        <v>6</v>
      </c>
      <c r="B2" s="57" t="s">
        <v>8</v>
      </c>
      <c r="C2" s="57" t="s">
        <v>7</v>
      </c>
      <c r="D2" s="57" t="s">
        <v>15</v>
      </c>
      <c r="E2" s="57" t="s">
        <v>18</v>
      </c>
      <c r="F2" s="57" t="s">
        <v>17</v>
      </c>
      <c r="G2" s="57" t="s">
        <v>19</v>
      </c>
      <c r="H2" s="57" t="s">
        <v>0</v>
      </c>
      <c r="I2" s="57" t="s">
        <v>25</v>
      </c>
      <c r="J2" s="57" t="s">
        <v>16</v>
      </c>
      <c r="K2" s="57" t="s">
        <v>26</v>
      </c>
      <c r="L2" s="57" t="s">
        <v>27</v>
      </c>
      <c r="M2" s="57" t="s">
        <v>1</v>
      </c>
      <c r="N2" s="57" t="s">
        <v>28</v>
      </c>
      <c r="O2" s="57" t="s">
        <v>29</v>
      </c>
      <c r="P2" s="57" t="s">
        <v>30</v>
      </c>
      <c r="Q2" s="57" t="s">
        <v>31</v>
      </c>
      <c r="R2" s="57" t="s">
        <v>2</v>
      </c>
      <c r="S2" s="57" t="s">
        <v>32</v>
      </c>
      <c r="T2" s="57" t="s">
        <v>33</v>
      </c>
      <c r="U2" s="57" t="s">
        <v>34</v>
      </c>
      <c r="V2" s="57" t="s">
        <v>35</v>
      </c>
      <c r="W2" s="57" t="s">
        <v>3</v>
      </c>
      <c r="X2" s="57" t="s">
        <v>36</v>
      </c>
      <c r="Y2" s="57" t="s">
        <v>37</v>
      </c>
      <c r="Z2" s="57" t="s">
        <v>38</v>
      </c>
      <c r="AA2" s="57" t="s">
        <v>39</v>
      </c>
      <c r="AB2" s="57" t="s">
        <v>4</v>
      </c>
      <c r="AC2" s="57" t="s">
        <v>40</v>
      </c>
      <c r="AD2" s="57" t="s">
        <v>41</v>
      </c>
      <c r="AE2" s="57" t="s">
        <v>42</v>
      </c>
      <c r="AF2" s="57" t="s">
        <v>43</v>
      </c>
      <c r="AG2" s="57" t="s">
        <v>5</v>
      </c>
    </row>
    <row r="3" spans="1:33" x14ac:dyDescent="0.3">
      <c r="A3" s="57">
        <v>1</v>
      </c>
      <c r="B3" s="58" t="s">
        <v>67</v>
      </c>
      <c r="C3" s="58" t="s">
        <v>68</v>
      </c>
      <c r="D3" s="58" t="s">
        <v>9</v>
      </c>
      <c r="E3" s="58" t="s">
        <v>9</v>
      </c>
      <c r="F3" s="58" t="s">
        <v>9</v>
      </c>
      <c r="G3" s="58" t="s">
        <v>9</v>
      </c>
      <c r="H3" s="58">
        <f t="shared" ref="H3" si="0">IF(D3="Oui",0,1)+IF(E3="Oui",0,1)++IF(F3="Oui",0,1)+IF(G3="Oui",0,1)</f>
        <v>0</v>
      </c>
      <c r="I3" s="58" t="s">
        <v>9</v>
      </c>
      <c r="J3" s="58" t="s">
        <v>9</v>
      </c>
      <c r="K3" s="58" t="s">
        <v>9</v>
      </c>
      <c r="L3" s="58" t="s">
        <v>9</v>
      </c>
      <c r="M3" s="58">
        <f t="shared" ref="M3" si="1">IF(I3="Oui",0,1)+IF(J3="Oui",0,1)++IF(K3="Oui",0,1)+IF(L3="Oui",0,1)</f>
        <v>0</v>
      </c>
      <c r="N3" s="58" t="s">
        <v>9</v>
      </c>
      <c r="O3" s="58" t="s">
        <v>9</v>
      </c>
      <c r="P3" s="58" t="s">
        <v>9</v>
      </c>
      <c r="Q3" s="58" t="s">
        <v>9</v>
      </c>
      <c r="R3" s="58">
        <f>IF(N3="Oui",0,1)+IF(O3="Oui",0,1)++IF(P3="Oui",0,1)+IF(Q3="Oui",1,0)</f>
        <v>1</v>
      </c>
      <c r="S3" s="58" t="s">
        <v>9</v>
      </c>
      <c r="T3" s="58" t="s">
        <v>9</v>
      </c>
      <c r="U3" s="58" t="s">
        <v>9</v>
      </c>
      <c r="V3" s="58" t="s">
        <v>9</v>
      </c>
      <c r="W3" s="58">
        <f t="shared" ref="W3" si="2">IF(S3="Oui",0,1)+IF(T3="Oui",0,1)++IF(U3="Oui",0,1)+IF(V3="Oui",1,0)</f>
        <v>1</v>
      </c>
      <c r="X3" s="58" t="s">
        <v>9</v>
      </c>
      <c r="Y3" s="58" t="s">
        <v>9</v>
      </c>
      <c r="Z3" s="58" t="s">
        <v>9</v>
      </c>
      <c r="AA3" s="58" t="s">
        <v>9</v>
      </c>
      <c r="AB3" s="58">
        <f t="shared" ref="AB3" si="3">IF(X3="Oui",0,1)+IF(Y3="Oui",0,1)++IF(Z3="Oui",0,1)+IF(AA3="Oui",0,1)</f>
        <v>0</v>
      </c>
      <c r="AC3" s="58" t="s">
        <v>9</v>
      </c>
      <c r="AD3" s="58" t="s">
        <v>9</v>
      </c>
      <c r="AE3" s="58" t="s">
        <v>9</v>
      </c>
      <c r="AF3" s="58" t="s">
        <v>9</v>
      </c>
      <c r="AG3" s="58">
        <f t="shared" ref="AG3" si="4">IF(AC3="Oui",0,1)+IF(AD3="Oui",0,1)++IF(AE3="Oui",0,1)+IF(AF3="Oui",0,1)</f>
        <v>0</v>
      </c>
    </row>
    <row r="4" spans="1:33" x14ac:dyDescent="0.3">
      <c r="A4" s="17"/>
      <c r="B4" s="17"/>
      <c r="C4" s="17"/>
      <c r="D4" s="17"/>
      <c r="E4" s="17"/>
      <c r="F4" s="17"/>
      <c r="G4" s="17"/>
      <c r="I4" s="17"/>
      <c r="J4" s="17"/>
      <c r="K4" s="17"/>
      <c r="L4" s="17"/>
      <c r="N4" s="17"/>
      <c r="O4" s="17"/>
      <c r="P4" s="17"/>
      <c r="Q4" s="17"/>
      <c r="S4" s="17"/>
      <c r="T4" s="17"/>
      <c r="U4" s="17"/>
      <c r="V4" s="17"/>
      <c r="X4" s="17"/>
      <c r="Y4" s="17"/>
      <c r="Z4" s="17"/>
      <c r="AA4" s="17"/>
      <c r="AC4" s="17"/>
      <c r="AD4" s="17"/>
      <c r="AE4" s="17"/>
      <c r="AF4" s="17"/>
    </row>
    <row r="5" spans="1:33" x14ac:dyDescent="0.3">
      <c r="A5" s="17"/>
      <c r="B5" s="18"/>
      <c r="C5" s="18"/>
      <c r="D5" s="18"/>
      <c r="E5" s="18"/>
      <c r="F5" s="18"/>
      <c r="G5" s="18"/>
      <c r="I5" s="18"/>
      <c r="J5" s="18"/>
      <c r="K5" s="18"/>
      <c r="L5" s="18"/>
      <c r="N5" s="18"/>
      <c r="O5" s="18"/>
      <c r="P5" s="18"/>
      <c r="Q5" s="18"/>
      <c r="S5" s="18"/>
      <c r="T5" s="18"/>
      <c r="U5" s="18"/>
      <c r="V5" s="18"/>
      <c r="X5" s="18"/>
      <c r="Y5" s="18"/>
      <c r="Z5" s="18"/>
      <c r="AA5" s="18"/>
      <c r="AC5" s="18"/>
      <c r="AD5" s="18"/>
      <c r="AE5" s="18"/>
      <c r="AF5" s="17"/>
    </row>
    <row r="6" spans="1:33" x14ac:dyDescent="0.3">
      <c r="A6" s="17"/>
      <c r="AF6" s="17"/>
    </row>
    <row r="7" spans="1:33" x14ac:dyDescent="0.3">
      <c r="AF7" s="18"/>
    </row>
    <row r="8" spans="1:33" x14ac:dyDescent="0.3">
      <c r="AF8" s="18"/>
    </row>
    <row r="9" spans="1:33" x14ac:dyDescent="0.3">
      <c r="AF9" s="18"/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Guide</vt:lpstr>
      <vt:lpstr>Diagnostics</vt:lpstr>
      <vt:lpstr>Resultat</vt:lpstr>
      <vt:lpstr>Base de données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Salomé Catteau</dc:creator>
  <cp:lastModifiedBy>Salomé Catteau</cp:lastModifiedBy>
  <dcterms:created xsi:type="dcterms:W3CDTF">2022-11-02T08:10:51Z</dcterms:created>
  <dcterms:modified xsi:type="dcterms:W3CDTF">2022-11-16T11:25:31Z</dcterms:modified>
</cp:coreProperties>
</file>